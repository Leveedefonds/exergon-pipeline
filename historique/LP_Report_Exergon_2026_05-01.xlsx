
<file path=[Content_Types].xml><?xml version="1.0" encoding="utf-8"?>
<Types xmlns="http://schemas.openxmlformats.org/package/2006/content-types">
  <Default Extension="avif" ContentType="image/avif"/>
  <Default Extension="bmp" ContentType="image/bmp"/>
  <Default Extension="gif" ContentType="image/gif"/>
  <Default Extension="ico" ContentType="image/vnd.microsoft.icon"/>
  <Default Extension="jpeg" ContentType="image/jpeg"/>
  <Default Extension="png" ContentType="image/png"/>
  <Default Extension="tiff" ContentType="image/tiff"/>
  <Default Extension="webp" ContentType="image/webp"/>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table+xml" PartName="/xl/tables/table1.xml"/>
  <Override ContentType="application/vnd.openxmlformats-officedocument.spreadsheetml.worksheet+xml" PartName="/xl/worksheets/sheet0.xml"/>
  <Override ContentType="application/vnd.openxmlformats-officedocument.spreadsheetml.sheetMetadata+xml" PartName="/xl/metadata.xml"/>
  <Override ContentType="application/vnd.openxmlformats-officedocument.spreadsheetml.styles+xml" PartName="/xl/styles.xml"/>
  <Override ContentType="application/vnd.openxmlformats-officedocument.spreadsheetml.sharedStrings+xml" PartName="/xl/sharedStrings.xml"/>
</Types>
</file>

<file path=_rels/.rels><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state="visible" name="Pipeline (Liste #1)" sheetId="1" r:id="rId1"/>
  </sheets>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<sst xmlns="http://schemas.openxmlformats.org/spreadsheetml/2006/main" count="186" uniqueCount="186">
  <si>
    <t xml:space="preserve">    Fichier LP</t>
  </si>
  <si>
    <t>Fonds</t>
  </si>
  <si>
    <t>Typologie</t>
  </si>
  <si>
    <t>Entité</t>
  </si>
  <si>
    <t>Contact</t>
  </si>
  <si>
    <t>Contact Levée</t>
  </si>
  <si>
    <t>Commentaire</t>
  </si>
  <si>
    <t>Commentaire2</t>
  </si>
  <si>
    <t>Commentaire3</t>
  </si>
  <si>
    <t>Commentaire4</t>
  </si>
  <si>
    <t>Activités</t>
  </si>
  <si>
    <t>Étape</t>
  </si>
  <si>
    <t>Intérêt</t>
  </si>
  <si>
    <t>Date de dernière activité</t>
  </si>
  <si>
    <t>Dernière activité</t>
  </si>
  <si>
    <t>Date de prochaine activité</t>
  </si>
  <si>
    <t>Prochaine activité</t>
  </si>
  <si>
    <t>Revenu attendu</t>
  </si>
  <si>
    <t>Ticket</t>
  </si>
  <si>
    <t>% de Maturation</t>
  </si>
  <si>
    <t>Matu.</t>
  </si>
  <si>
    <t>Tri</t>
  </si>
  <si>
    <t>compteur</t>
  </si>
  <si>
    <t>DEEPTECH - Exergon</t>
  </si>
  <si>
    <t>Single Family Office</t>
  </si>
  <si>
    <t>SOFTKLIX Europe UG (haftungsbeschränkt)</t>
  </si>
  <si>
    <t>Klaus Maier</t>
  </si>
  <si>
    <t>Levée de Fonds</t>
  </si>
  <si>
    <t>&lt;p&gt;27/04/26 : prospect intéressé, call proposé pour échanger. Prend du temps cette semaine pour analyser les infos reçues. Mention d'un projet d'investissement familial dans une éolienne de 300m. Nouvelle piste créée pour équipe Ventes. Pas d'autres actions ou retours à ce stade.&lt;/p&gt;</t>
  </si>
  <si>
    <t>Interêt indicatif - A creuser</t>
  </si>
  <si>
    <t>30</t>
  </si>
  <si>
    <t>Corporate</t>
  </si>
  <si>
    <t>SIEMENS ENERGY SAS</t>
  </si>
  <si>
    <t>Anne-Laure de Chammard</t>
  </si>
  <si>
    <t>Romain Andrieu</t>
  </si>
  <si>
    <t>&lt;p&gt;Nouvelle piste créée pour équipe Ventes, origine : communication LinkedIn Anne-Laure de Chammard (post du 23/04/2026). Aucun échange, action ou retour prospect enregistré à ce jour. Pas d'activité planifiée ni de feedback sur fonds présentés. Prochaines étapes non définies.&lt;/p&gt;</t>
  </si>
  <si>
    <t>20</t>
  </si>
  <si>
    <t>Assurance/Mutuelle</t>
  </si>
  <si>
    <t>MONCEAU GENERALE ASSURANCES</t>
  </si>
  <si>
    <t>Gilles Dupin</t>
  </si>
  <si>
    <t>&lt;p&gt;Aucune activité récente ni échange spécifique détecté avec MONCEAU GENERALE ASSURANCES. Nouvelle piste créée pour équipe Ventes, aucun suivi ou interaction supplémentaire relevé. Pas de retour prospect, pas d'étape à venir identifiée. Infos générales : acteur assurance, présence historique France.&lt;/p&gt;</t>
  </si>
  <si>
    <t>Intérêt à qualifier</t>
  </si>
  <si>
    <t>10</t>
  </si>
  <si>
    <t>Conseil</t>
  </si>
  <si>
    <t>ALL INVEST</t>
  </si>
  <si>
    <t>Ralph Olmost</t>
  </si>
  <si>
    <t>Edouard Gaurier</t>
  </si>
  <si>
    <t>&lt;p&gt;Nouvelle piste créée équipe Ventes. Tentative d'enrichissement lead échouée (email invalide). Activité : gros client intéressé deeptech, résumé : intérêt marqué. Prochaine étape non précisée, suivi à prévoir. Aucun retour prospect sur fonds présenté, pas de conclusion mentionnée.&lt;/p&gt;</t>
  </si>
  <si>
    <t>Gros client intéressé sur la deeptech</t>
  </si>
  <si>
    <t>Crédit Mutuel ARKEA</t>
  </si>
  <si>
    <t>Yann Choquet</t>
  </si>
  <si>
    <t>&lt;p&gt;RDV 25/09/2025 avec Julien Carmona (DG ARKEA), Stéphanie Coulon Renouvel reprend le dossier (fonds de fonds), priorité au Spatial, fort intérêt territoire. Dernière action : préparation réunion stratégique (février STRATON&amp;lt;&amp;gt;SLPE EXPANSION). Prochaine étape : réunion prévue 14/01/2026.&lt;/p&gt;</t>
  </si>
  <si>
    <t>MUTUELLE DE POITIERS ASSURANCES</t>
  </si>
  <si>
    <t>Romain JAHAN</t>
  </si>
  <si>
    <t>&lt;p&gt;RDV physique 5/03/2026 : Straton pas inscrit comité investissement, rien avant fin mars. Ok pour 1M€ Straton, demande incentive closing tech. 3 axes : tech (TIBI), souveraineté (Straton), mino défense (LaTourCapital). Prio Straton/Calderion, Exergon évoqué fin 2026. Prochaine étape : lancer post dossier Straton.&lt;/p&gt;</t>
  </si>
  <si>
    <t>HNWI</t>
  </si>
  <si>
    <t>Xavier de la Chapelle</t>
  </si>
  <si>
    <t>&lt;p&gt;Contact initié sur recommandation de Charles Beigbeder, intérêt exprimé pour fonds VC deeptech (Newspace, Nouveau nucléaire). Mail envoyé pour proposer une rencontre et partager des éléments. Pas de retour ni d'activité ultérieure enregistrée. Prochaine étape : attendre réponse du prospect.&lt;/p&gt;</t>
  </si>
  <si>
    <t>Banque (haut de bilan)</t>
  </si>
  <si>
    <t>UBS</t>
  </si>
  <si>
    <t>Michael BRUNNER</t>
  </si>
  <si>
    <t>&lt;p&gt;Prospect injoignable, aucune réponse malgré relances. Dernière action : tentative de reprise totale du dossier, sans succès. Prochaine étape : relancer ou abandonner si absence de retour. Aucun retour du prospect sur les fonds présentés, aucune conclusion partagée. Situation bloquée à ce stade.&lt;/p&gt;</t>
  </si>
  <si>
    <t>A relancer</t>
  </si>
  <si>
    <t>Multi Family Office</t>
  </si>
  <si>
    <t>Multi Family Office Sergey Buchin</t>
  </si>
  <si>
    <t>Sergey Buchin</t>
  </si>
  <si>
    <t>&lt;p&gt;RDV pris avec Sergey Buchin (MFO Monaco, ex-Oil &amp;amp; Gas, CleanTech). MFO = gestion UHNWI, pas de VC, focus PE/infra. Intérêt stratégique secteur vert, mais rendement 2.5x jugé trop faible (vise 10x), Article 9 difficile à vendre. Attente retour Sergei, clarif. intérêt LPs, intro, taille tickets.&lt;/p&gt;</t>
  </si>
  <si>
    <t>Johann RIVALAND</t>
  </si>
  <si>
    <t>&lt;p&gt;Deck envoyé après rencontre Charles/Laurent, suite à lead LG. Suivi à faire : contacter Thomas Riche Poussin à Londres pour avancer discussion fonds de fonds. Nouvelle piste créée équipe Ventes. Pas de retour prospect sur fonds pour l’instant. Dernière action 29/04/2026.&lt;/p&gt;</t>
  </si>
  <si>
    <t>BNPP SOLAR IMPULSE VENTURES</t>
  </si>
  <si>
    <t>Yann Lagalaye</t>
  </si>
  <si>
    <t>&lt;p&gt;Nouvelle piste créée pour équipe Ventes, relance effectuée par Romain Andrieu. Pas d'autres actions ou retours du prospect mentionnés. Prochaines étapes non précisées, attente de réponse suite à la relance.&lt;/p&gt;</t>
  </si>
  <si>
    <t>Pas encore prêt - A alimenter</t>
  </si>
  <si>
    <t>WAI</t>
  </si>
  <si>
    <t>Florent Garcia</t>
  </si>
  <si>
    <t>&lt;p&gt;Nouvelle piste créée pour équipe Ventes, relance effectuée par Romain Andrieu le 23/04/2026. Aucune autre activité ou retour prospect enregistré à ce jour. Prochaines étapes non planifiées, attente de réponse suite relance.&lt;/p&gt;</t>
  </si>
  <si>
    <t>Fonds de fonds</t>
  </si>
  <si>
    <t>ARKEA CAPITAL</t>
  </si>
  <si>
    <t>Pierre-Emmanuel Boulic</t>
  </si>
  <si>
    <t>&lt;p&gt;Thierry Vallet rejoint GP 1,3bn (ARKEA Capital) avec Pierre-Emmanuel Boulic, relation positive. Insistance sur l'identité du responsable ESG côté équipe. Nouvelle piste créée pour équipe Ventes. Pas d'autres actions ou retours prospect sur fonds. Prochaines étapes non précisées.&lt;/p&gt;</t>
  </si>
  <si>
    <t>Consultant</t>
  </si>
  <si>
    <t>Xpertiste Lab</t>
  </si>
  <si>
    <t>Victoria D'Hondt</t>
  </si>
  <si>
    <t>&lt;p&gt;Nouvelle piste créée pour équipe Ventes. Levée de Fonds connecte investisseurs/family offices à opportunités marchés privés (Private Equity, VC, immobilier, tech), ex : transaction 3,8 M€ Monaco restaurant. RDV proposé le 4 Mai. Pas d'autres actions ni retours prospects mentionnés.&lt;/p&gt;</t>
  </si>
  <si>
    <t>Public</t>
  </si>
  <si>
    <t>UNCDF</t>
  </si>
  <si>
    <t>Ankita Handoo</t>
  </si>
  <si>
    <t>&lt;p&gt;Contact établi avec prospect Levée de Fonds, intérêt confirmé pour la décarbonation. Proposition d'appel introductif le 27/04 à 15h (Bangkok). En attente de confirmation du créneau ou d'une nouvelle proposition de date. Aucune autre activité ou retour prospect enregistré à ce stade.&lt;/p&gt;</t>
  </si>
  <si>
    <t>GC Fund</t>
  </si>
  <si>
    <t>Daham Lee</t>
  </si>
  <si>
    <t>&lt;p&gt;Contact initié par Daham Lee (GCF) via Gareth pour explorer une collaboration, proposition de call d’intro semaine du 4 mai (5 ou 7 soir, heure Corée). Nouvelle piste créée pour équipe Ventes. En attente de retour sur disponibilité pour organiser l’échange. Aucune autre action ou retour prospect à ce stade.&lt;/p&gt;</t>
  </si>
  <si>
    <t>Heritage Capital Wealth</t>
  </si>
  <si>
    <t>Charles Nakouzi</t>
  </si>
  <si>
    <t>&lt;p&gt;Nouvelle piste créée pour équipe Ventes. 28/04/26 : prospect intéressé, propose un call, Théo Salerno organise, mail envoyé avec 3 créneaux proposés. Pas d'autres actions ni retours du prospect pour l'instant. Prochaine étape : organiser et tenir le call selon disponibilité.&lt;/p&gt;</t>
  </si>
  <si>
    <t>GOLDBECK</t>
  </si>
  <si>
    <t>Kelley Luyken</t>
  </si>
  <si>
    <t>&lt;p&gt;Contact établi avec Family Office, orientation vers Kelley pour évaluation Deeptech/climat. Demande d'envoi de deck/présentation des fonds en cours de levée pour revue préalable. RDV en cours de programmation, attente retour de leur part. Pas d'autres actions ou retours à ce stade.&lt;/p&gt;</t>
  </si>
  <si>
    <t>Robert Chudala</t>
  </si>
  <si>
    <t>ROBERT CHUDALA</t>
  </si>
  <si>
    <t>&lt;p&gt;28/04/26 : nouvelle piste créée pour équipe Ventes. Mail envoyé pour organiser RDV avec Vincent et Giuseppe début mai, attente retour. RDV booké pour le 7 mai. Prochaine étape : tenir RDV le 7 mai, retour attendu du prospect sur proposition.&lt;/p&gt;</t>
  </si>
  <si>
    <t>Mapfre</t>
  </si>
  <si>
    <t>José-Louis JIMÉNEZ GUAJARDO-FAJARDO</t>
  </si>
  <si>
    <t>&lt;p&gt;Aucune activité ou échange significatif enregistré sur l'opportunité Mapfre. Aucun suivi, aucune interaction ni action récente. Infos prospect : Mapfre, grand groupe d'assurance international, présent dans 40+ pays, 30 000 employés, solutions assurance/réassurance/gestion d'actifs.&lt;/p&gt;</t>
  </si>
  <si>
    <t>BPCE ASSURANCES</t>
  </si>
  <si>
    <t>Corinne Cipiere</t>
  </si>
  <si>
    <t>&lt;p&gt;15/10/2025 : BPCE Ass (via Flexstone) refuse offre, trop tôt pour eux, cherchent early growth (mandat TIBI inclus). Opportunités Tech Buy Out évoquées, ticket cible 8M€. Petit-déj Corinne Cipière/BPCE. Enrichissement lead impossible (email invalide). Pas d'action future planifiée.&lt;/p&gt;</t>
  </si>
  <si>
    <t>CGP</t>
  </si>
  <si>
    <t>MEESCHAERT GESTION PRIVEE</t>
  </si>
  <si>
    <t>Charles Bienaime</t>
  </si>
  <si>
    <t>&lt;p&gt;RDV 10/04 : Présentation VC Energie, supports envoyés sur Exergon (nucléaire/stockage), Calderion (hydrogène/fuels), Quantonation (fonds 2 clôturé). Mise en relation avec Christian Contzen. Charles intéressé pour recevoir Energy Tech Circle dans ses locaux. Prochaine étape à définir avant 17/04.&lt;/p&gt;</t>
  </si>
  <si>
    <t>rdv fait</t>
  </si>
  <si>
    <t>MVestenergy</t>
  </si>
  <si>
    <t>Jonny Hesthammer</t>
  </si>
  <si>
    <t>&lt;p&gt;Aucune activité menée sur le prospect. Un nouvelle piste a été créée pour l'équipe "Ventes". Aucun échange, action ou retour prospect enregistré à ce jour. Pas de prochaines étapes identifiées ni de suivi documenté dans les messages ou activités.&lt;/p&gt;</t>
  </si>
  <si>
    <t>Caisse d'Épargne Normandie</t>
  </si>
  <si>
    <t>Aurelien Valet</t>
  </si>
  <si>
    <t>&lt;p&gt;Mail Otrera posté à CEN, attente retour Christine Dropsy. Focus sur le nucléaire normand via start-up, 5M€ levés, objectif 15M€ avant fonds institutionnel 200M€. Echange 30/03 avec Adrien Vallet, ok rdv mandataire sous un mois. Intérêt Straton/Exergon. Décision fonds sous un mois.&lt;/p&gt;</t>
  </si>
  <si>
    <t>mail Otrera posté à CEN / en attente de retour (notamment avec Chrisitine Dropsy)</t>
  </si>
  <si>
    <t>Caisse d'Epargne Provence Alpes Corse</t>
  </si>
  <si>
    <t>Jérémy ESTRADER</t>
  </si>
  <si>
    <t>&lt;p&gt;Nouvelle piste créée pour équipe Ventes. Aucun échange, activité ou retour prospect enregistré à ce jour. Pas d'action menée ni de prochaine étape planifiée. Aucun avis ou conclusion prospect sur les fonds présentés. Suivi inexistant à ce stade.&lt;/p&gt;</t>
  </si>
  <si>
    <t>mise en relation avec la CEN sur Nouveau Nuc. / Campagne 2026</t>
  </si>
  <si>
    <t>Peri</t>
  </si>
  <si>
    <t>Felix Schönwasser</t>
  </si>
  <si>
    <t>&lt;p&gt;Premier contact prospect intéressé, puis absence de réponse, relance prévue. RDV physique réalisé pour fonds XXXX, échanges tenus, prochaines étapes définies. Plusieurs mails envoyés. RDV programmé le 28/04/2026. Suivi actif, attente retour prospect sur fonds présentés, relances à poursuivre.&lt;/p&gt;</t>
  </si>
  <si>
    <t>Maryland</t>
  </si>
  <si>
    <t>Leonardo Severino</t>
  </si>
  <si>
    <t>&lt;p&gt;14/04: call, envoi decks. Nouvelle équipe, vente 2/3 portefeuille (RE, PE/LBO), génération liquidités, 63% réinvesti, reste 34% à allouer. Nouvelle stratégie : VC, focus qualité équipes/thématiques. 27/04: relance mail, proposition nouveau call. Timing jugé excellent. Prochaine étape : call à planifier.&lt;/p&gt;</t>
  </si>
  <si>
    <t>Benka</t>
  </si>
  <si>
    <t>Aleksa L</t>
  </si>
  <si>
    <t>&lt;p&gt;16/04: prospect intéressé par la thématique, retour positif mais pas de suite donnée. 27/04: relance envoyée par Théo Salerno, attente de réponse. Pas d'autres actions ni retours depuis. Prochaine étape : suivre la réponse à la relance.&lt;/p&gt;</t>
  </si>
  <si>
    <t>MSR Family Office</t>
  </si>
  <si>
    <t>Nicole Schulze</t>
  </si>
  <si>
    <t>&lt;p&gt;Docs envoyés, équipe prospect en revue mais délai annoncé (17/04). Retour du 21/04 : fonds dédiés jugés intéressants mais prudence accrue pour nouveaux gérants, décision reportée, timing non opportun. Call proposé par Théo Salerno, pas de suite immédiate. Suivi à maintenir, relancer périodiquement.&lt;/p&gt;</t>
  </si>
  <si>
    <t>MoonFare</t>
  </si>
  <si>
    <t>Philip Meschke</t>
  </si>
  <si>
    <t>&lt;p&gt;Piste créée pour équipe Ventes. Premier contact : prospect indique pipeline saturé, priorise d'autres opportunités à court/moyen terme, propose de recontacter plus tard dans l'année. Aucune action ou activité supplémentaire enregistrée à ce jour. Prochaine étape : relance ultérieure.&lt;/p&gt;</t>
  </si>
  <si>
    <t>AXA</t>
  </si>
  <si>
    <t>Benjamin Komarnicki</t>
  </si>
  <si>
    <t>&lt;p&gt;Relance ciblée sur EXERGON, prospect très axé PE, peu ouvert VC, suggestion de contacter Cardif. 30/09/2025: absence de réponse, RDV le 5 mai sur autre sujet, attente traitement Saptial, AXA discute avec Entrooview. Relances faites auprès de Benjamin Komarnicki. Prochaine étape : relance prévue 04/01/2027.&lt;/p&gt;</t>
  </si>
  <si>
    <t>pas de vc / super collé sur le PE; probablement encore plus que les autres assureurs / aller voir Cardif.</t>
  </si>
  <si>
    <t>Mort / Plus rien à faire</t>
  </si>
  <si>
    <t>0</t>
  </si>
  <si>
    <t>Fonds de pension</t>
  </si>
  <si>
    <t>Oslo Pensjonsforsikring AS</t>
  </si>
  <si>
    <t>Ryan El Houssein</t>
  </si>
  <si>
    <t>&lt;p&gt;Process interne OPF 2025 sur private markets, décision d'investir dans GPs nordiques, BP finalisé mi-avril 2026. Mandat possible pour stratégie Aerospace &amp;amp; Defense (base Suède). Fonds new nuclear exclu (GP français). Prochain RDV prévu janv 2027. Attente validation BP, contact investisseurs Oslo possible.&lt;/p&gt;</t>
  </si>
  <si>
    <t>rdv dans en janv 2027</t>
  </si>
  <si>
    <t>COVEA FINANCE</t>
  </si>
  <si>
    <t>Olivier Leborgne</t>
  </si>
  <si>
    <t>&lt;p&gt;Café avec Guillaume Danssault (COVEA) après relance post-newsletter EXERGON n°10. COVEA : 80% re-up PE, 20% nouvelles stratégies PE, exit autres stratégies dont Exergon. Attente validation allocation Non coté PE Straton. Ouverture possible sur La Défense. Prochaine étape : planifier RDV.&lt;/p&gt;</t>
  </si>
  <si>
    <t>Fonds souverain</t>
  </si>
  <si>
    <t>ENEC</t>
  </si>
  <si>
    <t>Yvon Luc Mompeyssin</t>
  </si>
  <si>
    <t>&lt;p&gt;RDV physique 9/03/2026 ENEC : échanges sur besoins tech, évaluation R&amp;amp;D par Nind, ouverture DataRoom, focus sur impact fonds pour programme nucléaire UAE, scaling, partenariats newtech, Forward Investments (DEWA) évoqué. Prochaine étape : préDD, poursuite discussions tech/invest.&lt;/p&gt;</t>
  </si>
  <si>
    <t>Pitch du 9 mars 2026 / Ok pour préDD.</t>
  </si>
  <si>
    <t>ARKEA AM FUNDS</t>
  </si>
  <si>
    <t>Emmanuelle Bonale</t>
  </si>
  <si>
    <t>&lt;p&gt;RDV physique 13/03 avec DESJARDINS CAPITAL, présentation réalisée, feedback : sujet clôturé. Pas d'autres actions ou prochaines étapes mentionnées. Nouvelle piste créée pour l'équipe Ventes. Aucun suivi ou activité complémentaire enregistrée à ce jour.&lt;/p&gt;</t>
  </si>
  <si>
    <t>Fondation</t>
  </si>
  <si>
    <t>FONDAZIONE CASSA DI RISPARMIO DELLE PROV. LOMBARDE - CARIPLO</t>
  </si>
  <si>
    <t>Francesco Ceci</t>
  </si>
  <si>
    <t>&lt;p&gt;Relance effectuée le 6 mars par Romain Andrieu. RDV présentation Exergon prévu le 3 décembre 2025. Dernière action notée : "Fait". Pas de retour prospect ni conclusion sur fonds. Prochaine étape : suivi post-RDV à planifier. Pas d'autres activités ou retours recensés.&lt;/p&gt;</t>
  </si>
  <si>
    <t>relance faite le 6 mars &lt;&gt; RDV du 3 decembre 2025 de présentation pour Exergon</t>
  </si>
  <si>
    <t>DEEPTECH - Calderion, DEEPTECH - Exergon</t>
  </si>
  <si>
    <t>Association</t>
  </si>
  <si>
    <t>United Nations Development Program</t>
  </si>
  <si>
    <t>Lakshmi Viswanathan</t>
  </si>
  <si>
    <t>Amaury Daignes</t>
  </si>
  <si>
    <t>&lt;p&gt;03.03 prospection Allemagne pour Expansion &amp;amp; Calderion, intérêt confirmé. 10.03 visio Teams avec Lakshmi Viswanathan (UNDP), Calderion &amp;amp; Exergon : qualification UNDP, présentation fonds, échanges sur synergies, focus impact investing, climat, SDG, fonds GCF. Prochaines étapes : envoyer teasers Calderion/Exergon, contacter UN CDF/GCF.&lt;/p&gt;</t>
  </si>
  <si>
    <t>Probablement mort</t>
  </si>
  <si>
    <t>Shell venture</t>
  </si>
  <si>
    <t>Leonardo SPANU</t>
  </si>
  <si>
    <t>&lt;p&gt;Aucune activité menée sur le prospect. Un nouvelle piste a été créée pour l'équipe "Ventes". Aucun échange, action ou retour prospect enregistré à ce jour. Pas de suivi, pas de prochaine étape identifiée.&lt;/p&gt;</t>
  </si>
  <si>
    <t>MATMUT</t>
  </si>
  <si>
    <t>Léovic LECLUZE</t>
  </si>
  <si>
    <t>&lt;p&gt;Leovic confirme : pas de PE defense, pas de VC. Aucun intérêt pour ces fonds exprimé par le prospect. Dernière activité le 13/04/2026. Pas de prochaines actions prévues à ce stade. Aucun retour ou demande complémentaire identifié dans les échanges récents.&lt;/p&gt;</t>
  </si>
  <si>
    <t>Leovic confirme Pas de PE defense et pas de vc</t>
  </si>
  <si>
    <t>&lt;p&gt;RDV physique 30/10/2026 terminé, LOI signée ARKEA AM, AUDACIA. Action clôturée, réflexion sur prorogation en déc 2026 à prévoir. Nouvelle piste créée pour équipe Ventes. Pas d'autres activités ou retours prospect sur fonds présentés. Prochaine étape&amp;nbsp;: décider prorogation en décembre.&lt;/p&gt;</t>
  </si>
  <si>
    <t>DESJARDINS (CC DESJARDINS)</t>
  </si>
  <si>
    <t>Danielle Filistin</t>
  </si>
  <si>
    <t>&lt;p&gt;Aucune activité menée sur le prospect. Nouvelle piste créée pour l'équipe Ventes, aucun échange ou action complémentaire enregistrée à ce jour, pas de retour ni d'étape suivante identifiée. Suivi à initier, aucune interaction ou feedback prospect recensé pour l'instant.&lt;/p&gt;</t>
  </si>
  <si>
    <t>rdv du 14 avril / prise d'information sur EXERGOIN</t>
  </si>
  <si>
    <t>European Organization for Nuclear Research - CERN</t>
  </si>
  <si>
    <t>Elena MANOLA</t>
  </si>
  <si>
    <t>&lt;p&gt;Aucune activité menée sur le prospect. Infos disponibles : Opportunité European Organization for Nuclear Research (CERN), grand laboratoire de physique des particules, plus de 2 500 employés, 12 000 scientifiques, connu pour le LHC. Aucune action, échange ou retour prospect enregistré à ce jour.&lt;/p&gt;</t>
  </si>
</sst>
</file>

<file path=xl/styles.xml><?xml version="1.0" encoding="utf-8"?>
<styleSheet xmlns="http://schemas.openxmlformats.org/spreadsheetml/2006/main" xmlns:r="http://schemas.openxmlformats.org/officeDocument/2006/relationships">
  <numFmts count="2">
    <numFmt numFmtId="164" formatCode="dd/mm/yyyy"/>
    <numFmt numFmtId="165" formatCode="#,##0[$€]"/>
  </numFmts>
  <fonts count="4">
    <font>
      <sz val="10"/>
      <color rgb="000000"/>
      <name val="Arial"/>
    </font>
    <font>
      <sz val="10"/>
      <color rgb="FFFFFF"/>
      <name val="Arial"/>
    </font>
    <font>
      <sz val="30"/>
      <color rgb="FFFFFF"/>
      <name val="Arial"/>
    </font>
    <font>
      <sz val="10"/>
      <color rgb="351C75"/>
      <name val="Arial"/>
    </font>
  </fonts>
  <fills count="4">
    <fill>
      <patternFill patternType="none"/>
    </fill>
    <fill>
      <patternFill patternType="gray125"/>
    </fill>
    <fill>
      <patternFill patternType="solid">
        <fgColor rgb="351C75"/>
        <bgColor indexed="64"/>
      </patternFill>
    </fill>
    <fill>
      <patternFill patternType="solid">
        <fgColor rgb="FFFFFF"/>
        <bgColor indexed="64"/>
      </patternFill>
    </fill>
  </fills>
  <borders count="1">
    <border>
      <left>
        </left>
      <right>
        </right>
      <top>
        </top>
      <bottom>
        </bottom>
      <diagonal>
        </diagonal>
    </border>
  </borders>
  <cellXfs count="14">
    <xf numFmtId="0" fillId="0" fontId="0" borderId="0"/>
    <xf numFmtId="0" fillId="2" fontId="1" borderId="0" applyAlignment="1">
      <alignment vertical="center" horizontal="center"/>
    </xf>
    <xf numFmtId="0" fillId="2" fontId="1" borderId="0" applyAlignment="1">
      <alignment vertical="center" horizontal="center" wrapText="1"/>
    </xf>
    <xf numFmtId="0" fillId="2" fontId="2" borderId="0" applyAlignment="1">
      <alignment vertical="center" wrapText="1"/>
    </xf>
    <xf numFmtId="0" fillId="0" fontId="1" borderId="0"/>
    <xf numFmtId="0" fillId="0" fontId="3" borderId="0"/>
    <xf numFmtId="0" fillId="0" fontId="3" borderId="0" applyAlignment="1">
      <alignment vertical="center" horizontal="center" wrapText="1"/>
    </xf>
    <xf numFmtId="0" fillId="0" fontId="3" borderId="0" applyAlignment="1">
      <alignment vertical="center" horizontal="center"/>
    </xf>
    <xf numFmtId="0" fillId="3" fontId="3" borderId="0" applyAlignment="1">
      <alignment vertical="center" horizontal="center" wrapText="1"/>
    </xf>
    <xf numFmtId="49" fillId="0" fontId="3" borderId="0" applyAlignment="1">
      <alignment vertical="center" horizontal="center" wrapText="1"/>
    </xf>
    <xf numFmtId="0" fillId="0" fontId="3" borderId="0" applyAlignment="1">
      <alignment wrapText="1"/>
    </xf>
    <xf numFmtId="0" fillId="0" fontId="3" borderId="0" applyAlignment="1">
      <alignment vertical="center" wrapText="1"/>
    </xf>
    <xf numFmtId="164" fillId="0" fontId="3" borderId="0" applyAlignment="1">
      <alignment vertical="center" horizontal="center" wrapText="1"/>
    </xf>
    <xf numFmtId="165" fillId="0" fontId="3" borderId="0" applyAlignment="1">
      <alignment vertical="center" horizontal="center" wrapText="1"/>
    </xf>
  </cellXfs>
  <dxfs count="2">
    <dxf>
      <fill>
        <patternFill>
          <bgColor rgb="B6D7A8"/>
        </patternFill>
      </fill>
    </dxf>
    <dxf>
      <fill>
        <patternFill>
          <bgColor rgb="D9EAD3"/>
        </patternFill>
      </fill>
    </dxf>
  </dxfs>
</styleSheet>
</file>

<file path=xl/_rels/workbook.xml.rels><Relationships xmlns="http://schemas.openxmlformats.org/package/2006/relationships">
        
        <Relationship Id="rId1" Target="worksheets/sheet0.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metadata.xml" Type="http://schemas.openxmlformats.org/officeDocument/2006/relationships/sheetMetadata"/>
      
      </Relationships>
</file>

<file path=xl/tables/table1.xml><?xml version="1.0" encoding="utf-8"?>
<table xmlns="http://schemas.openxmlformats.org/spreadsheetml/2006/main" xmlns:xr="http://schemas.microsoft.com/office/spreadsheetml/2014/revision" xmlns:xr3="http://schemas.microsoft.com/office/spreadsheetml/2016/revision3" xmlns:mc="http://schemas.openxmlformats.org/markup-compatibility/2006" id="1" name="Table1" displayName="Table1" ref="A3:V102" headerRowCount="1" totalsRowCount="0">
  <autoFilter ref="A3:V102">
  </autoFilter>
  <tableColumns count="22">
    <tableColumn id="1" name="Fonds"/>
    <tableColumn id="2" name="Typologie"/>
    <tableColumn id="3" name="Entité"/>
    <tableColumn id="4" name="Contact"/>
    <tableColumn id="5" name="Contact Levée"/>
    <tableColumn id="6" name="Commentaire"/>
    <tableColumn id="7" name="Commentaire2"/>
    <tableColumn id="8" name="Commentaire3"/>
    <tableColumn id="9" name="Commentaire4"/>
    <tableColumn id="10" name="Activités"/>
    <tableColumn id="11" name="Étape"/>
    <tableColumn id="12" name="Intérêt"/>
    <tableColumn id="13" name="Date de dernière activité"/>
    <tableColumn id="14" name="Dernière activité"/>
    <tableColumn id="15" name="Date de prochaine activité"/>
    <tableColumn id="16" name="Prochaine activité"/>
    <tableColumn id="17" name="Revenu attendu"/>
    <tableColumn id="18" name="Ticket"/>
    <tableColumn id="19" name="% de Maturation"/>
    <tableColumn id="20" name="Matu."/>
    <tableColumn id="21" name="Tri"/>
    <tableColumn id="22" name="compteur"/>
  </tableColumns>
  <tableStyleInfo name="TableStyleLight9" showFirstColumn="0" showLastColumn="0" showRowStripes="1" showColumnStripes="0"/>
</table>
</file>

<file path=xl/worksheets/_rels/sheet0.xml.rels><Relationships xmlns="http://schemas.openxmlformats.org/package/2006/relationships">
        
        <Relationship Id="rId1" Target="../tables/table1.xml" Type="http://schemas.openxmlformats.org/officeDocument/2006/relationships/table"/>
      
      </Relationships>
</file>

<file path=xl/worksheets/sheet0.xml><?xml version="1.0" encoding="utf-8"?>
<worksheet xmlns="http://schemas.openxmlformats.org/spreadsheetml/2006/main" xmlns:r="http://schemas.openxmlformats.org/officeDocument/2006/relationships">
  <sheetViews>
    <sheetView showGridLines="1" workbookViewId="0">
      <pane ySplit="3" topLeftCell="A4" activePane="bottomLeft" state="frozen"/>
      <selection pane="bottomLeft"/>
    </sheetView>
  </sheetViews>
  <sheetFormatPr defaultRowHeight="17.25" defaultColWidth="13.73"/>
  <cols>
    <col min="1" max="1" width="27.89" customWidth="1" hidden="0"/>
    <col min="2" max="2" width="25.74" customWidth="1" hidden="0"/>
    <col min="3" max="3" width="39.47" customWidth="1" hidden="0"/>
    <col min="4" max="4" width="26.46" customWidth="1" hidden="0"/>
    <col min="5" max="5" width="17.16" customWidth="1" hidden="0"/>
    <col min="6" max="6" width="52.34" customWidth="1" hidden="1"/>
    <col min="7" max="7" width="52.34" customWidth="1" hidden="1"/>
    <col min="8" max="8" width="52.34" customWidth="1" hidden="1"/>
    <col min="9" max="9" width="52.34" customWidth="1" hidden="0"/>
    <col min="10" max="10" width="68.07" customWidth="1" hidden="1"/>
    <col min="11" max="11" width="25.31" customWidth="1" hidden="1"/>
    <col min="12" max="12" width="10.87" customWidth="1" hidden="0"/>
    <col min="13" max="13" width="25.31" customWidth="1" hidden="1"/>
    <col min="14" max="14" width="13.44" customWidth="1" hidden="0"/>
    <col min="15" max="15" width="25.31" customWidth="1" hidden="1"/>
    <col min="16" max="16" width="14.44" customWidth="1" hidden="0"/>
    <col min="17" max="17" width="15.16" customWidth="1" hidden="1"/>
    <col min="18" max="18" width="9.44" customWidth="1" hidden="0"/>
    <col min="19" max="19" width="20.02" customWidth="1" hidden="1"/>
    <col min="20" max="20" width="10.87" customWidth="1" hidden="0"/>
    <col min="21" max="21" width="11.44" customWidth="1" hidden="0"/>
    <col min="22" max="22" width="13.73" customWidth="1" hidden="1"/>
    <col min="23" max="23" width="13.73" customWidth="1" hidden="0"/>
    <col min="24" max="24" width="13.73" customWidth="1" hidden="0"/>
    <col min="25" max="25" width="13.73" customWidth="1" hidden="0"/>
    <col min="26" max="26" width="13.73" customWidth="1" hidden="0"/>
    <col min="27" max="27" width="13.73" customWidth="1" hidden="0"/>
    <col min="28" max="28" width="13.73" customWidth="1" hidden="0"/>
    <col min="29" max="29" width="13.73" customWidth="1" hidden="0"/>
    <col min="30" max="30" width="13.73" customWidth="1" hidden="0"/>
    <col min="31" max="31" width="13.73" customWidth="1" hidden="0"/>
    <col min="32" max="32" width="13.73" customWidth="1" hidden="0"/>
    <col min="33" max="33" width="13.73" customWidth="1" hidden="0"/>
    <col min="34" max="34" width="13.73" customWidth="1" hidden="0"/>
    <col min="35" max="35" width="13.73" customWidth="1" hidden="0"/>
    <col min="36" max="36" width="13.73" customWidth="1" hidden="0"/>
  </cols>
  <sheetData>
    <row r="1" ht="31.5" customHeight="1">
      <c r="A1" s="1">
</c>
      <c r="B1" s="1">
</c>
      <c r="C1" s="1">
</c>
      <c r="D1" s="2">
</c>
      <c r="E1" s="1">
</c>
      <c r="F1" s="1">
</c>
      <c r="G1" s="2">
</c>
      <c r="H1" s="1">
</c>
      <c r="I1" s="3" t="s">
        <v>0</v>
      </c>
      <c r="J1" s="1">
</c>
      <c r="K1" s="1">
</c>
      <c r="L1" s="1">
</c>
      <c r="M1" s="1">
</c>
      <c r="N1" s="3">
</c>
      <c r="O1" s="1">
</c>
      <c r="P1" s="2">
</c>
      <c r="Q1" s="1">
</c>
      <c r="R1" s="1">
</c>
      <c r="S1" s="1">
</c>
      <c r="T1" s="1">
</c>
      <c r="U1" s="2">
</c>
      <c r="V1" s="4">
</c>
      <c r="W1" s="4">
</c>
      <c r="X1" s="4">
</c>
      <c r="Y1" s="4">
</c>
      <c r="Z1" s="4">
</c>
      <c r="AA1" s="4">
</c>
      <c r="AB1" s="4">
</c>
      <c r="AC1" s="4">
</c>
      <c r="AD1" s="4">
</c>
      <c r="AE1" s="4">
</c>
      <c r="AF1" s="4">
</c>
      <c r="AG1" s="4">
</c>
      <c r="AH1" s="4">
</c>
      <c r="AI1" s="4">
</c>
      <c r="AJ1" s="4">
</c>
    </row>
    <row r="2" ht="31.5" customHeight="1">
      <c r="A2" s="5">
</c>
      <c r="B2" s="6">
</c>
      <c r="C2" s="7" cm="1" t="n">
        <f t="array" ref="C2">SUBTOTAL(9,V4:V102)</f>
        <v>42</v>
      </c>
      <c r="D2" s="5">
</c>
      <c r="E2" s="5">
</c>
      <c r="F2" s="5">
</c>
      <c r="G2" s="5">
</c>
      <c r="H2" s="5">
</c>
      <c r="I2" s="5">
</c>
      <c r="J2" s="5">
</c>
      <c r="K2" s="5">
</c>
      <c r="L2" s="5">
</c>
      <c r="M2" s="5">
</c>
      <c r="N2" s="5">
</c>
      <c r="O2" s="5">
</c>
      <c r="P2" s="5">
</c>
      <c r="Q2" s="8" cm="1" t="n">
        <f t="array" ref="Q2">SUBTOTAL(9,Q4:Q202)</f>
        <v>15000000</v>
      </c>
      <c r="R2" s="8" cm="1" t="str">
        <f t="array" ref="R2">ROUND(Q2/1000000,3)&amp;" M€"</f>
        <v>15 M€</v>
      </c>
      <c r="S2" s="5">
</c>
      <c r="T2" s="5">
</c>
      <c r="U2" s="5">
</c>
      <c r="V2" s="5">
</c>
      <c r="W2" s="5">
</c>
      <c r="X2" s="5">
</c>
      <c r="Y2" s="5">
</c>
      <c r="Z2" s="5">
</c>
      <c r="AA2" s="5">
</c>
      <c r="AB2" s="5">
</c>
      <c r="AC2" s="5">
</c>
      <c r="AD2" s="5">
</c>
      <c r="AE2" s="5">
</c>
      <c r="AF2" s="5">
</c>
      <c r="AG2" s="5">
</c>
      <c r="AH2" s="5">
</c>
      <c r="AI2" s="5">
</c>
      <c r="AJ2" s="5">
</c>
    </row>
    <row r="3" ht="31.5" customHeigh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4" t="s">
        <v>22</v>
      </c>
      <c r="W3" s="4">
</c>
      <c r="X3" s="4">
</c>
      <c r="Y3" s="4">
</c>
      <c r="Z3" s="4">
</c>
      <c r="AA3" s="4">
</c>
      <c r="AB3" s="4">
</c>
      <c r="AC3" s="4">
</c>
      <c r="AD3" s="4">
</c>
      <c r="AE3" s="4">
</c>
      <c r="AF3" s="4">
</c>
      <c r="AG3" s="4">
</c>
      <c r="AH3" s="4">
</c>
      <c r="AI3" s="4">
</c>
      <c r="AJ3" s="4">
</c>
    </row>
    <row r="4" ht="81" customHeight="1">
      <c r="A4" s="6" t="s">
        <v>23</v>
      </c>
      <c r="B4" s="6" t="s">
        <v>24</v>
      </c>
      <c r="C4" s="9" t="s">
        <v>25</v>
      </c>
      <c r="D4" s="9" t="s">
        <v>26</v>
      </c>
      <c r="E4" s="6" t="s">
        <v>27</v>
      </c>
      <c r="F4" s="5" t="s">
        <v>28</v>
      </c>
      <c r="G4" s="10" cm="1" t="str">
        <f t="array" ref="G4">IF(F4="","",SUBSTITUTE(SUBSTITUTE(SUBSTITUTE(SUBSTITUTE(F4,"&lt;li&gt;",CHAR(10)),"&lt;/li&gt;",""),"&lt;br&gt;",CHAR(10)),"&lt;strong&gt;",""))</f>
        <v>&lt;p&gt;27/04/26 : prospect intéressé, call proposé pour échanger. Prend du temps cette semaine pour analyser les infos reçues. Mention d'un projet d'investissement familial dans une éolienne de 300m. Nouvelle piste créée pour équipe Ventes. Pas d'autres actions ou retours à ce stade.&lt;/p&gt;</v>
      </c>
      <c r="H4" s="10" cm="1" t="str">
        <f t="array" ref="H4">IF(G4="","",SUBSTITUTE(SUBSTITUTE(SUBSTITUTE(SUBSTITUTE(SUBSTITUTE(G4,"&lt;p&gt;",""),"&lt;/p&gt;",""),"&lt;ul&gt;",""),"&lt;/ul&gt;",""),"&lt;/strong&gt;",""))</f>
        <v>27/04/26 : prospect intéressé, call proposé pour échanger. Prend du temps cette semaine pour analyser les infos reçues. Mention d'un projet d'investissement familial dans une éolienne de 300m. Nouvelle piste créée pour équipe Ventes. Pas d'autres actions ou retours à ce stade.</v>
      </c>
      <c r="I4" s="11" cm="1" t="str">
        <f t="array" ref="I4">IF(C4="","",IF(OR(H4="",H4=0,H4=FALSE),"-",H4))</f>
        <v>27/04/26 : prospect intéressé, call proposé pour échanger. Prend du temps cette semaine pour analyser les infos reçues. Mention d'un projet d'investissement familial dans une éolienne de 300m. Nouvelle piste créée pour équipe Ventes. Pas d'autres actions ou retours à ce stade.</v>
      </c>
      <c r="J4" s="5">
</c>
      <c r="K4" s="6" t="s">
        <v>29</v>
      </c>
      <c r="L4" s="6" cm="1" t="str">
        <f t="array" ref="L4">IF(C4="","",IF(K4="Mort / Plus rien à faire","KO","OK"))</f>
        <v>OK</v>
      </c>
      <c r="M4" s="12">
        <v>46139.63028935185</v>
      </c>
      <c r="N4" s="12" cm="1" t="n">
        <f t="array" ref="N4">IF(OR(C4="",M4="",M4=0),"",M4)</f>
        <v>46139.63028935185</v>
      </c>
      <c r="O4" s="12">
        <v>46146.5</v>
      </c>
      <c r="P4" s="12" cm="1" t="n">
        <f t="array" ref="P4">IF(C4="","",IF(OR(O4="",O4=0),"-",O4))</f>
        <v>46146.5</v>
      </c>
      <c r="Q4" s="13">
        <v>0</v>
      </c>
      <c r="R4" s="9" cm="1" t="str">
        <f t="array" ref="R4">IF(C4="","",ROUND(Q4/1000000,3)&amp;" M€")</f>
        <v>0 M€</v>
      </c>
      <c r="S4" s="9" t="s">
        <v>30</v>
      </c>
      <c r="T4" s="9" cm="1" t="str">
        <f t="array" ref="T4">IF(C4="","",SUBSTITUTE(S4,"","")&amp;"%")</f>
        <v>30%</v>
      </c>
      <c r="U4" s="11" cm="1" t="str">
        <f t="array" ref="U4">IF(($N4="")*($P4=""),"",IF(($N4&lt;&gt;"")*($N4&gt;TODAY()-9)*($N4&lt;TODAY()+1)*($P4&lt;&gt;"")*($P4&gt;=TODAY())*($P4&lt;=TODAY()+13),"Semaine passée &amp; à venir",IF(($N4&lt;&gt;"")*($N4&gt;TODAY()-9)*($N4&lt;TODAY()+1),"Semaine passée",IF(($P4&lt;&gt;"")*($P4&gt;=TODAY())*($P4&lt;=TODAY()+13),"À venir","Autre"))))</f>
        <v>Semaine passée &amp; à venir</v>
      </c>
      <c r="V4" s="5" cm="1" t="n">
        <f t="array" ref="V4">IF(C4&lt;&gt;"",1,0)</f>
        <v>1</v>
      </c>
      <c r="W4" s="5">
</c>
      <c r="X4" s="5">
</c>
      <c r="Y4" s="5">
</c>
      <c r="Z4" s="5">
</c>
      <c r="AA4" s="5">
</c>
      <c r="AB4" s="5">
</c>
      <c r="AC4" s="5">
</c>
      <c r="AD4" s="5">
</c>
      <c r="AE4" s="5">
</c>
      <c r="AF4" s="5">
</c>
      <c r="AG4" s="5">
</c>
      <c r="AH4" s="5">
</c>
      <c r="AI4" s="5">
</c>
      <c r="AJ4" s="5">
</c>
    </row>
    <row r="5" ht="81" customHeight="1">
      <c r="A5" s="6" t="s">
        <v>23</v>
      </c>
      <c r="B5" s="6" t="s">
        <v>31</v>
      </c>
      <c r="C5" s="9" t="s">
        <v>32</v>
      </c>
      <c r="D5" s="9" t="s">
        <v>33</v>
      </c>
      <c r="E5" s="6" t="s">
        <v>34</v>
      </c>
      <c r="F5" s="5" t="s">
        <v>35</v>
      </c>
      <c r="G5" s="10" cm="1" t="str">
        <f t="array" ref="G5">IF(F5="","",SUBSTITUTE(SUBSTITUTE(SUBSTITUTE(SUBSTITUTE(F5,"&lt;li&gt;",CHAR(10)),"&lt;/li&gt;",""),"&lt;br&gt;",CHAR(10)),"&lt;strong&gt;",""))</f>
        <v>&lt;p&gt;Nouvelle piste créée pour équipe Ventes, origine : communication LinkedIn Anne-Laure de Chammard (post du 23/04/2026). Aucun échange, action ou retour prospect enregistré à ce jour. Pas d'activité planifiée ni de feedback sur fonds présentés. Prochaines étapes non définies.&lt;/p&gt;</v>
      </c>
      <c r="H5" s="10" cm="1" t="str">
        <f t="array" ref="H5">IF(G5="","",SUBSTITUTE(SUBSTITUTE(SUBSTITUTE(SUBSTITUTE(SUBSTITUTE(G5,"&lt;p&gt;",""),"&lt;/p&gt;",""),"&lt;ul&gt;",""),"&lt;/ul&gt;",""),"&lt;/strong&gt;",""))</f>
        <v>Nouvelle piste créée pour équipe Ventes, origine : communication LinkedIn Anne-Laure de Chammard (post du 23/04/2026). Aucun échange, action ou retour prospect enregistré à ce jour. Pas d'activité planifiée ni de feedback sur fonds présentés. Prochaines étapes non définies.</v>
      </c>
      <c r="I5" s="11" cm="1" t="str">
        <f t="array" ref="I5">IF(C5="","",IF(OR(H5="",H5=0,H5=FALSE),"-",H5))</f>
        <v>Nouvelle piste créée pour équipe Ventes, origine : communication LinkedIn Anne-Laure de Chammard (post du 23/04/2026). Aucun échange, action ou retour prospect enregistré à ce jour. Pas d'activité planifiée ni de feedback sur fonds présentés. Prochaines étapes non définies.</v>
      </c>
      <c r="J5" s="5">
</c>
      <c r="K5" s="6" t="s">
        <v>29</v>
      </c>
      <c r="L5" s="6" cm="1" t="str">
        <f t="array" ref="L5">IF(C5="","",IF(K5="Mort / Plus rien à faire","KO","OK"))</f>
        <v>OK</v>
      </c>
      <c r="M5" s="12">
        <v>46135.80616898148</v>
      </c>
      <c r="N5" s="12" cm="1" t="n">
        <f t="array" ref="N5">IF(OR(C5="",M5="",M5=0),"",M5)</f>
        <v>46135.80616898148</v>
      </c>
      <c r="O5" s="12">
</c>
      <c r="P5" s="12" cm="1" t="str">
        <f t="array" ref="P5">IF(C5="","",IF(OR(O5="",O5=0),"-",O5))</f>
        <v>-</v>
      </c>
      <c r="Q5" s="13">
        <v>0</v>
      </c>
      <c r="R5" s="9" cm="1" t="str">
        <f t="array" ref="R5">IF(C5="","",ROUND(Q5/1000000,3)&amp;" M€")</f>
        <v>0 M€</v>
      </c>
      <c r="S5" s="9" t="s">
        <v>36</v>
      </c>
      <c r="T5" s="9" cm="1" t="str">
        <f t="array" ref="T5">IF(C5="","",SUBSTITUTE(S5,"","")&amp;"%")</f>
        <v>20%</v>
      </c>
      <c r="U5" s="11" cm="1" t="str">
        <f t="array" ref="U5">IF(($N5="")*($P5=""),"",IF(($N5&lt;&gt;"")*($N5&gt;TODAY()-9)*($N5&lt;TODAY()+1)*($P5&lt;&gt;"")*($P5&gt;=TODAY())*($P5&lt;=TODAY()+13),"Semaine passée &amp; à venir",IF(($N5&lt;&gt;"")*($N5&gt;TODAY()-9)*($N5&lt;TODAY()+1),"Semaine passée",IF(($P5&lt;&gt;"")*($P5&gt;=TODAY())*($P5&lt;=TODAY()+13),"À venir","Autre"))))</f>
        <v>Autre</v>
      </c>
      <c r="V5" s="5" cm="1" t="n">
        <f t="array" ref="V5">IF(C5&lt;&gt;"",1,0)</f>
        <v>1</v>
      </c>
      <c r="W5" s="5">
</c>
      <c r="X5" s="11">
</c>
      <c r="Y5" s="5">
</c>
      <c r="Z5" s="5">
</c>
      <c r="AA5" s="5">
</c>
      <c r="AB5" s="5">
</c>
      <c r="AC5" s="5">
</c>
      <c r="AD5" s="5">
</c>
      <c r="AE5" s="5">
</c>
      <c r="AF5" s="5">
</c>
      <c r="AG5" s="5">
</c>
      <c r="AH5" s="5">
</c>
      <c r="AI5" s="5">
</c>
      <c r="AJ5" s="5">
</c>
    </row>
    <row r="6" ht="81" customHeight="1">
      <c r="A6" s="6" t="s">
        <v>23</v>
      </c>
      <c r="B6" s="6" t="s">
        <v>37</v>
      </c>
      <c r="C6" s="9" t="s">
        <v>38</v>
      </c>
      <c r="D6" s="9" t="s">
        <v>39</v>
      </c>
      <c r="E6" s="6" t="s">
        <v>34</v>
      </c>
      <c r="F6" s="5" t="s">
        <v>40</v>
      </c>
      <c r="G6" s="10" cm="1" t="str">
        <f t="array" ref="G6">IF(F6="","",SUBSTITUTE(SUBSTITUTE(SUBSTITUTE(SUBSTITUTE(F6,"&lt;li&gt;",CHAR(10)),"&lt;/li&gt;",""),"&lt;br&gt;",CHAR(10)),"&lt;strong&gt;",""))</f>
        <v>&lt;p&gt;Aucune activité récente ni échange spécifique détecté avec MONCEAU GENERALE ASSURANCES. Nouvelle piste créée pour équipe Ventes, aucun suivi ou interaction supplémentaire relevé. Pas de retour prospect, pas d'étape à venir identifiée. Infos générales : acteur assurance, présence historique France.&lt;/p&gt;</v>
      </c>
      <c r="H6" s="10" cm="1" t="str">
        <f t="array" ref="H6">IF(G6="","",SUBSTITUTE(SUBSTITUTE(SUBSTITUTE(SUBSTITUTE(SUBSTITUTE(G6,"&lt;p&gt;",""),"&lt;/p&gt;",""),"&lt;ul&gt;",""),"&lt;/ul&gt;",""),"&lt;/strong&gt;",""))</f>
        <v>Aucune activité récente ni échange spécifique détecté avec MONCEAU GENERALE ASSURANCES. Nouvelle piste créée pour équipe Ventes, aucun suivi ou interaction supplémentaire relevé. Pas de retour prospect, pas d'étape à venir identifiée. Infos générales : acteur assurance, présence historique France.</v>
      </c>
      <c r="I6" s="11" cm="1" t="str">
        <f t="array" ref="I6">IF(C6="","",IF(OR(H6="",H6=0,H6=FALSE),"-",H6))</f>
        <v>Aucune activité récente ni échange spécifique détecté avec MONCEAU GENERALE ASSURANCES. Nouvelle piste créée pour équipe Ventes, aucun suivi ou interaction supplémentaire relevé. Pas de retour prospect, pas d'étape à venir identifiée. Infos générales : acteur assurance, présence historique France.</v>
      </c>
      <c r="J6" s="5">
</c>
      <c r="K6" s="6" t="s">
        <v>41</v>
      </c>
      <c r="L6" s="6" cm="1" t="str">
        <f t="array" ref="L6">IF(C6="","",IF(K6="Mort / Plus rien à faire","KO","OK"))</f>
        <v>OK</v>
      </c>
      <c r="M6" s="12">
        <v>46028.560266203705</v>
      </c>
      <c r="N6" s="12" cm="1" t="n">
        <f t="array" ref="N6">IF(OR(C6="",M6="",M6=0),"",M6)</f>
        <v>46028.560266203705</v>
      </c>
      <c r="O6" s="12">
</c>
      <c r="P6" s="12" cm="1" t="str">
        <f t="array" ref="P6">IF(C6="","",IF(OR(O6="",O6=0),"-",O6))</f>
        <v>-</v>
      </c>
      <c r="Q6" s="13">
        <v>0</v>
      </c>
      <c r="R6" s="9" cm="1" t="str">
        <f t="array" ref="R6">IF(C6="","",ROUND(Q6/1000000,3)&amp;" M€")</f>
        <v>0 M€</v>
      </c>
      <c r="S6" s="9" t="s">
        <v>42</v>
      </c>
      <c r="T6" s="9" cm="1" t="str">
        <f t="array" ref="T6">IF(C6="","",SUBSTITUTE(S6,"","")&amp;"%")</f>
        <v>10%</v>
      </c>
      <c r="U6" s="11" cm="1" t="str">
        <f t="array" ref="U6">IF(($N6="")*($P6=""),"",IF(($N6&lt;&gt;"")*($N6&gt;TODAY()-9)*($N6&lt;TODAY()+1)*($P6&lt;&gt;"")*($P6&gt;=TODAY())*($P6&lt;=TODAY()+13),"Semaine passée &amp; à venir",IF(($N6&lt;&gt;"")*($N6&gt;TODAY()-9)*($N6&lt;TODAY()+1),"Semaine passée",IF(($P6&lt;&gt;"")*($P6&gt;=TODAY())*($P6&lt;=TODAY()+13),"À venir","Autre"))))</f>
        <v>Autre</v>
      </c>
      <c r="V6" s="5" cm="1" t="n">
        <f t="array" ref="V6">IF(C6&lt;&gt;"",1,0)</f>
        <v>1</v>
      </c>
      <c r="W6" s="5">
</c>
      <c r="X6" s="5">
</c>
      <c r="Y6" s="5">
</c>
      <c r="Z6" s="5">
</c>
      <c r="AA6" s="5">
</c>
      <c r="AB6" s="5">
</c>
      <c r="AC6" s="5">
</c>
      <c r="AD6" s="5">
</c>
      <c r="AE6" s="5">
</c>
      <c r="AF6" s="5">
</c>
      <c r="AG6" s="5">
</c>
      <c r="AH6" s="5">
</c>
      <c r="AI6" s="5">
</c>
      <c r="AJ6" s="5">
</c>
    </row>
    <row r="7" ht="81" customHeight="1">
      <c r="A7" s="6" t="s">
        <v>23</v>
      </c>
      <c r="B7" s="6" t="s">
        <v>43</v>
      </c>
      <c r="C7" s="9" t="s">
        <v>44</v>
      </c>
      <c r="D7" s="9" t="s">
        <v>45</v>
      </c>
      <c r="E7" s="6" t="s">
        <v>46</v>
      </c>
      <c r="F7" s="5" t="s">
        <v>47</v>
      </c>
      <c r="G7" s="10" cm="1" t="str">
        <f t="array" ref="G7">IF(F7="","",SUBSTITUTE(SUBSTITUTE(SUBSTITUTE(SUBSTITUTE(F7,"&lt;li&gt;",CHAR(10)),"&lt;/li&gt;",""),"&lt;br&gt;",CHAR(10)),"&lt;strong&gt;",""))</f>
        <v>&lt;p&gt;Nouvelle piste créée équipe Ventes. Tentative d'enrichissement lead échouée (email invalide). Activité : gros client intéressé deeptech, résumé : intérêt marqué. Prochaine étape non précisée, suivi à prévoir. Aucun retour prospect sur fonds présenté, pas de conclusion mentionnée.&lt;/p&gt;</v>
      </c>
      <c r="H7" s="10" cm="1" t="str">
        <f t="array" ref="H7">IF(G7="","",SUBSTITUTE(SUBSTITUTE(SUBSTITUTE(SUBSTITUTE(SUBSTITUTE(G7,"&lt;p&gt;",""),"&lt;/p&gt;",""),"&lt;ul&gt;",""),"&lt;/ul&gt;",""),"&lt;/strong&gt;",""))</f>
        <v>Nouvelle piste créée équipe Ventes. Tentative d'enrichissement lead échouée (email invalide). Activité : gros client intéressé deeptech, résumé : intérêt marqué. Prochaine étape non précisée, suivi à prévoir. Aucun retour prospect sur fonds présenté, pas de conclusion mentionnée.</v>
      </c>
      <c r="I7" s="11" cm="1" t="str">
        <f t="array" ref="I7">IF(C7="","",IF(OR(H7="",H7=0,H7=FALSE),"-",H7))</f>
        <v>Nouvelle piste créée équipe Ventes. Tentative d'enrichissement lead échouée (email invalide). Activité : gros client intéressé deeptech, résumé : intérêt marqué. Prochaine étape non précisée, suivi à prévoir. Aucun retour prospect sur fonds présenté, pas de conclusion mentionnée.</v>
      </c>
      <c r="J7" s="5" t="s">
        <v>48</v>
      </c>
      <c r="K7" s="6" t="s">
        <v>29</v>
      </c>
      <c r="L7" s="6" cm="1" t="str">
        <f t="array" ref="L7">IF(C7="","",IF(K7="Mort / Plus rien à faire","KO","OK"))</f>
        <v>OK</v>
      </c>
      <c r="M7" s="12">
        <v>46063.47607638889</v>
      </c>
      <c r="N7" s="12" cm="1" t="n">
        <f t="array" ref="N7">IF(OR(C7="",M7="",M7=0),"",M7)</f>
        <v>46063.47607638889</v>
      </c>
      <c r="O7" s="12">
</c>
      <c r="P7" s="12" cm="1" t="str">
        <f t="array" ref="P7">IF(C7="","",IF(OR(O7="",O7=0),"-",O7))</f>
        <v>-</v>
      </c>
      <c r="Q7" s="13">
        <v>0</v>
      </c>
      <c r="R7" s="9" cm="1" t="str">
        <f t="array" ref="R7">IF(C7="","",ROUND(Q7/1000000,3)&amp;" M€")</f>
        <v>0 M€</v>
      </c>
      <c r="S7" s="9" t="s">
        <v>42</v>
      </c>
      <c r="T7" s="9" cm="1" t="str">
        <f t="array" ref="T7">IF(C7="","",SUBSTITUTE(S7,"","")&amp;"%")</f>
        <v>10%</v>
      </c>
      <c r="U7" s="11" cm="1" t="str">
        <f t="array" ref="U7">IF(($N7="")*($P7=""),"",IF(($N7&lt;&gt;"")*($N7&gt;TODAY()-9)*($N7&lt;TODAY()+1)*($P7&lt;&gt;"")*($P7&gt;=TODAY())*($P7&lt;=TODAY()+13),"Semaine passée &amp; à venir",IF(($N7&lt;&gt;"")*($N7&gt;TODAY()-9)*($N7&lt;TODAY()+1),"Semaine passée",IF(($P7&lt;&gt;"")*($P7&gt;=TODAY())*($P7&lt;=TODAY()+13),"À venir","Autre"))))</f>
        <v>Autre</v>
      </c>
      <c r="V7" s="5" cm="1" t="n">
        <f t="array" ref="V7">IF(C7&lt;&gt;"",1,0)</f>
        <v>1</v>
      </c>
      <c r="W7" s="5">
</c>
      <c r="X7" s="5">
</c>
      <c r="Y7" s="5">
</c>
      <c r="Z7" s="5">
</c>
      <c r="AA7" s="5">
</c>
      <c r="AB7" s="5">
</c>
      <c r="AC7" s="5">
</c>
      <c r="AD7" s="5">
</c>
      <c r="AE7" s="5">
</c>
      <c r="AF7" s="5">
</c>
      <c r="AG7" s="5">
</c>
      <c r="AH7" s="5">
</c>
      <c r="AI7" s="5">
</c>
      <c r="AJ7" s="5">
</c>
    </row>
    <row r="8" ht="81" customHeight="1">
      <c r="A8" s="6" t="s">
        <v>23</v>
      </c>
      <c r="B8" s="6" t="s">
        <v>37</v>
      </c>
      <c r="C8" s="9" t="s">
        <v>49</v>
      </c>
      <c r="D8" s="9" t="s">
        <v>50</v>
      </c>
      <c r="E8" s="6" t="s">
        <v>34</v>
      </c>
      <c r="F8" s="5" t="s">
        <v>51</v>
      </c>
      <c r="G8" s="10" cm="1" t="str">
        <f t="array" ref="G8">IF(F8="","",SUBSTITUTE(SUBSTITUTE(SUBSTITUTE(SUBSTITUTE(F8,"&lt;li&gt;",CHAR(10)),"&lt;/li&gt;",""),"&lt;br&gt;",CHAR(10)),"&lt;strong&gt;",""))</f>
        <v>&lt;p&gt;RDV 25/09/2025 avec Julien Carmona (DG ARKEA), Stéphanie Coulon Renouvel reprend le dossier (fonds de fonds), priorité au Spatial, fort intérêt territoire. Dernière action : préparation réunion stratégique (février STRATON&amp;lt;&amp;gt;SLPE EXPANSION). Prochaine étape : réunion prévue 14/01/2026.&lt;/p&gt;</v>
      </c>
      <c r="H8" s="10" cm="1" t="str">
        <f t="array" ref="H8">IF(G8="","",SUBSTITUTE(SUBSTITUTE(SUBSTITUTE(SUBSTITUTE(SUBSTITUTE(G8,"&lt;p&gt;",""),"&lt;/p&gt;",""),"&lt;ul&gt;",""),"&lt;/ul&gt;",""),"&lt;/strong&gt;",""))</f>
        <v>RDV 25/09/2025 avec Julien Carmona (DG ARKEA), Stéphanie Coulon Renouvel reprend le dossier (fonds de fonds), priorité au Spatial, fort intérêt territoire. Dernière action : préparation réunion stratégique (février STRATON&amp;lt;&amp;gt;SLPE EXPANSION). Prochaine étape : réunion prévue 14/01/2026.</v>
      </c>
      <c r="I8" s="11" cm="1" t="str">
        <f t="array" ref="I8">IF(C8="","",IF(OR(H8="",H8=0,H8=FALSE),"-",H8))</f>
        <v>RDV 25/09/2025 avec Julien Carmona (DG ARKEA), Stéphanie Coulon Renouvel reprend le dossier (fonds de fonds), priorité au Spatial, fort intérêt territoire. Dernière action : préparation réunion stratégique (février STRATON&amp;lt;&amp;gt;SLPE EXPANSION). Prochaine étape : réunion prévue 14/01/2026.</v>
      </c>
      <c r="J8" s="5">
</c>
      <c r="K8" s="6" t="s">
        <v>29</v>
      </c>
      <c r="L8" s="6" cm="1" t="str">
        <f t="array" ref="L8">IF(C8="","",IF(K8="Mort / Plus rien à faire","KO","OK"))</f>
        <v>OK</v>
      </c>
      <c r="M8" s="12">
        <v>46064.441666666666</v>
      </c>
      <c r="N8" s="12" cm="1" t="n">
        <f t="array" ref="N8">IF(OR(C8="",M8="",M8=0),"",M8)</f>
        <v>46064.441666666666</v>
      </c>
      <c r="O8" s="12">
</c>
      <c r="P8" s="12" cm="1" t="str">
        <f t="array" ref="P8">IF(C8="","",IF(OR(O8="",O8=0),"-",O8))</f>
        <v>-</v>
      </c>
      <c r="Q8" s="13">
        <v>0</v>
      </c>
      <c r="R8" s="9" cm="1" t="str">
        <f t="array" ref="R8">IF(C8="","",ROUND(Q8/1000000,3)&amp;" M€")</f>
        <v>0 M€</v>
      </c>
      <c r="S8" s="9" t="s">
        <v>42</v>
      </c>
      <c r="T8" s="9" cm="1" t="str">
        <f t="array" ref="T8">IF(C8="","",SUBSTITUTE(S8,"","")&amp;"%")</f>
        <v>10%</v>
      </c>
      <c r="U8" s="11" cm="1" t="str">
        <f t="array" ref="U8">IF(($N8="")*($P8=""),"",IF(($N8&lt;&gt;"")*($N8&gt;TODAY()-9)*($N8&lt;TODAY()+1)*($P8&lt;&gt;"")*($P8&gt;=TODAY())*($P8&lt;=TODAY()+13),"Semaine passée &amp; à venir",IF(($N8&lt;&gt;"")*($N8&gt;TODAY()-9)*($N8&lt;TODAY()+1),"Semaine passée",IF(($P8&lt;&gt;"")*($P8&gt;=TODAY())*($P8&lt;=TODAY()+13),"À venir","Autre"))))</f>
        <v>Autre</v>
      </c>
      <c r="V8" s="5" cm="1" t="n">
        <f t="array" ref="V8">IF(C8&lt;&gt;"",1,0)</f>
        <v>1</v>
      </c>
      <c r="W8" s="5">
</c>
      <c r="X8" s="5">
</c>
      <c r="Y8" s="5">
</c>
      <c r="Z8" s="5">
</c>
      <c r="AA8" s="5">
</c>
      <c r="AB8" s="5">
</c>
      <c r="AC8" s="5">
</c>
      <c r="AD8" s="5">
</c>
      <c r="AE8" s="5">
</c>
      <c r="AF8" s="5">
</c>
      <c r="AG8" s="5">
</c>
      <c r="AH8" s="5">
</c>
      <c r="AI8" s="5">
</c>
      <c r="AJ8" s="5">
</c>
    </row>
    <row r="9" ht="81" customHeight="1">
      <c r="A9" s="6" t="s">
        <v>23</v>
      </c>
      <c r="B9" s="6" t="s">
        <v>37</v>
      </c>
      <c r="C9" s="9" t="s">
        <v>52</v>
      </c>
      <c r="D9" s="9" t="s">
        <v>53</v>
      </c>
      <c r="E9" s="6" t="s">
        <v>34</v>
      </c>
      <c r="F9" s="5" t="s">
        <v>54</v>
      </c>
      <c r="G9" s="10" cm="1" t="str">
        <f t="array" ref="G9">IF(F9="","",SUBSTITUTE(SUBSTITUTE(SUBSTITUTE(SUBSTITUTE(F9,"&lt;li&gt;",CHAR(10)),"&lt;/li&gt;",""),"&lt;br&gt;",CHAR(10)),"&lt;strong&gt;",""))</f>
        <v>&lt;p&gt;RDV physique 5/03/2026 : Straton pas inscrit comité investissement, rien avant fin mars. Ok pour 1M€ Straton, demande incentive closing tech. 3 axes : tech (TIBI), souveraineté (Straton), mino défense (LaTourCapital). Prio Straton/Calderion, Exergon évoqué fin 2026. Prochaine étape : lancer post dossier Straton.&lt;/p&gt;</v>
      </c>
      <c r="H9" s="10" cm="1" t="str">
        <f t="array" ref="H9">IF(G9="","",SUBSTITUTE(SUBSTITUTE(SUBSTITUTE(SUBSTITUTE(SUBSTITUTE(G9,"&lt;p&gt;",""),"&lt;/p&gt;",""),"&lt;ul&gt;",""),"&lt;/ul&gt;",""),"&lt;/strong&gt;",""))</f>
        <v>RDV physique 5/03/2026 : Straton pas inscrit comité investissement, rien avant fin mars. Ok pour 1M€ Straton, demande incentive closing tech. 3 axes : tech (TIBI), souveraineté (Straton), mino défense (LaTourCapital). Prio Straton/Calderion, Exergon évoqué fin 2026. Prochaine étape : lancer post dossier Straton.</v>
      </c>
      <c r="I9" s="11" cm="1" t="str">
        <f t="array" ref="I9">IF(C9="","",IF(OR(H9="",H9=0,H9=FALSE),"-",H9))</f>
        <v>RDV physique 5/03/2026 : Straton pas inscrit comité investissement, rien avant fin mars. Ok pour 1M€ Straton, demande incentive closing tech. 3 axes : tech (TIBI), souveraineté (Straton), mino défense (LaTourCapital). Prio Straton/Calderion, Exergon évoqué fin 2026. Prochaine étape : lancer post dossier Straton.</v>
      </c>
      <c r="J9" s="5">
</c>
      <c r="K9" s="6" t="s">
        <v>41</v>
      </c>
      <c r="L9" s="6" cm="1" t="str">
        <f t="array" ref="L9">IF(C9="","",IF(K9="Mort / Plus rien à faire","KO","OK"))</f>
        <v>OK</v>
      </c>
      <c r="M9" s="12">
        <v>46105.6216087963</v>
      </c>
      <c r="N9" s="12" cm="1" t="n">
        <f t="array" ref="N9">IF(OR(C9="",M9="",M9=0),"",M9)</f>
        <v>46105.6216087963</v>
      </c>
      <c r="O9" s="12">
</c>
      <c r="P9" s="12" cm="1" t="str">
        <f t="array" ref="P9">IF(C9="","",IF(OR(O9="",O9=0),"-",O9))</f>
        <v>-</v>
      </c>
      <c r="Q9" s="13">
        <v>0</v>
      </c>
      <c r="R9" s="9" cm="1" t="str">
        <f t="array" ref="R9">IF(C9="","",ROUND(Q9/1000000,3)&amp;" M€")</f>
        <v>0 M€</v>
      </c>
      <c r="S9" s="9" t="s">
        <v>42</v>
      </c>
      <c r="T9" s="9" cm="1" t="str">
        <f t="array" ref="T9">IF(C9="","",SUBSTITUTE(S9,"","")&amp;"%")</f>
        <v>10%</v>
      </c>
      <c r="U9" s="11" cm="1" t="str">
        <f t="array" ref="U9">IF(($N9="")*($P9=""),"",IF(($N9&lt;&gt;"")*($N9&gt;TODAY()-9)*($N9&lt;TODAY()+1)*($P9&lt;&gt;"")*($P9&gt;=TODAY())*($P9&lt;=TODAY()+13),"Semaine passée &amp; à venir",IF(($N9&lt;&gt;"")*($N9&gt;TODAY()-9)*($N9&lt;TODAY()+1),"Semaine passée",IF(($P9&lt;&gt;"")*($P9&gt;=TODAY())*($P9&lt;=TODAY()+13),"À venir","Autre"))))</f>
        <v>Autre</v>
      </c>
      <c r="V9" s="5" cm="1" t="n">
        <f t="array" ref="V9">IF(C9&lt;&gt;"",1,0)</f>
        <v>1</v>
      </c>
      <c r="W9" s="5">
</c>
      <c r="X9" s="5">
</c>
      <c r="Y9" s="5">
</c>
      <c r="Z9" s="5">
</c>
      <c r="AA9" s="5">
</c>
      <c r="AB9" s="5">
</c>
      <c r="AC9" s="5">
</c>
      <c r="AD9" s="5">
</c>
      <c r="AE9" s="5">
</c>
      <c r="AF9" s="5">
</c>
      <c r="AG9" s="5">
</c>
      <c r="AH9" s="5">
</c>
      <c r="AI9" s="5">
</c>
      <c r="AJ9" s="5">
</c>
    </row>
    <row r="10" ht="81" customHeight="1">
      <c r="A10" s="6" t="s">
        <v>23</v>
      </c>
      <c r="B10" s="6" t="s">
        <v>55</v>
      </c>
      <c r="C10" s="9" t="s">
        <v>56</v>
      </c>
      <c r="D10" s="9" t="s">
        <v>56</v>
      </c>
      <c r="E10" s="6" t="s">
        <v>34</v>
      </c>
      <c r="F10" s="5" t="s">
        <v>57</v>
      </c>
      <c r="G10" s="10" cm="1" t="str">
        <f t="array" ref="G10">IF(F10="","",SUBSTITUTE(SUBSTITUTE(SUBSTITUTE(SUBSTITUTE(F10,"&lt;li&gt;",CHAR(10)),"&lt;/li&gt;",""),"&lt;br&gt;",CHAR(10)),"&lt;strong&gt;",""))</f>
        <v>&lt;p&gt;Contact initié sur recommandation de Charles Beigbeder, intérêt exprimé pour fonds VC deeptech (Newspace, Nouveau nucléaire). Mail envoyé pour proposer une rencontre et partager des éléments. Pas de retour ni d'activité ultérieure enregistrée. Prochaine étape : attendre réponse du prospect.&lt;/p&gt;</v>
      </c>
      <c r="H10" s="10" cm="1" t="str">
        <f t="array" ref="H10">IF(G10="","",SUBSTITUTE(SUBSTITUTE(SUBSTITUTE(SUBSTITUTE(SUBSTITUTE(G10,"&lt;p&gt;",""),"&lt;/p&gt;",""),"&lt;ul&gt;",""),"&lt;/ul&gt;",""),"&lt;/strong&gt;",""))</f>
        <v>Contact initié sur recommandation de Charles Beigbeder, intérêt exprimé pour fonds VC deeptech (Newspace, Nouveau nucléaire). Mail envoyé pour proposer une rencontre et partager des éléments. Pas de retour ni d'activité ultérieure enregistrée. Prochaine étape : attendre réponse du prospect.</v>
      </c>
      <c r="I10" s="11" cm="1" t="str">
        <f t="array" ref="I10">IF(C10="","",IF(OR(H10="",H10=0,H10=FALSE),"-",H10))</f>
        <v>Contact initié sur recommandation de Charles Beigbeder, intérêt exprimé pour fonds VC deeptech (Newspace, Nouveau nucléaire). Mail envoyé pour proposer une rencontre et partager des éléments. Pas de retour ni d'activité ultérieure enregistrée. Prochaine étape : attendre réponse du prospect.</v>
      </c>
      <c r="J10" s="5">
</c>
      <c r="K10" s="6" t="s">
        <v>41</v>
      </c>
      <c r="L10" s="6" cm="1" t="str">
        <f t="array" ref="L10">IF(C10="","",IF(K10="Mort / Plus rien à faire","KO","OK"))</f>
        <v>OK</v>
      </c>
      <c r="M10" s="12">
        <v>46142.71605324074</v>
      </c>
      <c r="N10" s="12" cm="1" t="n">
        <f t="array" ref="N10">IF(OR(C10="",M10="",M10=0),"",M10)</f>
        <v>46142.71605324074</v>
      </c>
      <c r="O10" s="12">
</c>
      <c r="P10" s="12" cm="1" t="str">
        <f t="array" ref="P10">IF(C10="","",IF(OR(O10="",O10=0),"-",O10))</f>
        <v>-</v>
      </c>
      <c r="Q10" s="13">
        <v>0</v>
      </c>
      <c r="R10" s="9" cm="1" t="str">
        <f t="array" ref="R10">IF(C10="","",ROUND(Q10/1000000,3)&amp;" M€")</f>
        <v>0 M€</v>
      </c>
      <c r="S10" s="9" t="s">
        <v>42</v>
      </c>
      <c r="T10" s="9" cm="1" t="str">
        <f t="array" ref="T10">IF(C10="","",SUBSTITUTE(S10,"","")&amp;"%")</f>
        <v>10%</v>
      </c>
      <c r="U10" s="11" cm="1" t="str">
        <f t="array" ref="U10">IF(($N10="")*($P10=""),"",IF(($N10&lt;&gt;"")*($N10&gt;TODAY()-9)*($N10&lt;TODAY()+1)*($P10&lt;&gt;"")*($P10&gt;=TODAY())*($P10&lt;=TODAY()+13),"Semaine passée &amp; à venir",IF(($N10&lt;&gt;"")*($N10&gt;TODAY()-9)*($N10&lt;TODAY()+1),"Semaine passée",IF(($P10&lt;&gt;"")*($P10&gt;=TODAY())*($P10&lt;=TODAY()+13),"À venir","Autre"))))</f>
        <v>Semaine passée</v>
      </c>
      <c r="V10" s="5" cm="1" t="n">
        <f t="array" ref="V10">IF(C10&lt;&gt;"",1,0)</f>
        <v>1</v>
      </c>
      <c r="W10" s="5">
</c>
      <c r="X10" s="5">
</c>
      <c r="Y10" s="5">
</c>
      <c r="Z10" s="5">
</c>
      <c r="AA10" s="5">
</c>
      <c r="AB10" s="5">
</c>
      <c r="AC10" s="5">
</c>
      <c r="AD10" s="5">
</c>
      <c r="AE10" s="5">
</c>
      <c r="AF10" s="5">
</c>
      <c r="AG10" s="5">
</c>
      <c r="AH10" s="5">
</c>
      <c r="AI10" s="5">
</c>
      <c r="AJ10" s="5">
</c>
    </row>
    <row r="11" ht="81" customHeight="1">
      <c r="A11" s="6" t="s">
        <v>23</v>
      </c>
      <c r="B11" s="6" t="s">
        <v>58</v>
      </c>
      <c r="C11" s="9" t="s">
        <v>59</v>
      </c>
      <c r="D11" s="9" t="s">
        <v>60</v>
      </c>
      <c r="E11" s="6" t="s">
        <v>34</v>
      </c>
      <c r="F11" s="5" t="s">
        <v>61</v>
      </c>
      <c r="G11" s="10" cm="1" t="str">
        <f t="array" ref="G11">IF(F11="","",SUBSTITUTE(SUBSTITUTE(SUBSTITUTE(SUBSTITUTE(F11,"&lt;li&gt;",CHAR(10)),"&lt;/li&gt;",""),"&lt;br&gt;",CHAR(10)),"&lt;strong&gt;",""))</f>
        <v>&lt;p&gt;Prospect injoignable, aucune réponse malgré relances. Dernière action : tentative de reprise totale du dossier, sans succès. Prochaine étape : relancer ou abandonner si absence de retour. Aucun retour du prospect sur les fonds présentés, aucune conclusion partagée. Situation bloquée à ce stade.&lt;/p&gt;</v>
      </c>
      <c r="H11" s="10" cm="1" t="str">
        <f t="array" ref="H11">IF(G11="","",SUBSTITUTE(SUBSTITUTE(SUBSTITUTE(SUBSTITUTE(SUBSTITUTE(G11,"&lt;p&gt;",""),"&lt;/p&gt;",""),"&lt;ul&gt;",""),"&lt;/ul&gt;",""),"&lt;/strong&gt;",""))</f>
        <v>Prospect injoignable, aucune réponse malgré relances. Dernière action : tentative de reprise totale du dossier, sans succès. Prochaine étape : relancer ou abandonner si absence de retour. Aucun retour du prospect sur les fonds présentés, aucune conclusion partagée. Situation bloquée à ce stade.</v>
      </c>
      <c r="I11" s="11" cm="1" t="str">
        <f t="array" ref="I11">IF(C11="","",IF(OR(H11="",H11=0,H11=FALSE),"-",H11))</f>
        <v>Prospect injoignable, aucune réponse malgré relances. Dernière action : tentative de reprise totale du dossier, sans succès. Prochaine étape : relancer ou abandonner si absence de retour. Aucun retour du prospect sur les fonds présentés, aucune conclusion partagée. Situation bloquée à ce stade.</v>
      </c>
      <c r="J11" s="5" t="s">
        <v>62</v>
      </c>
      <c r="K11" s="6" t="s">
        <v>41</v>
      </c>
      <c r="L11" s="6" cm="1" t="str">
        <f t="array" ref="L11">IF(C11="","",IF(K11="Mort / Plus rien à faire","KO","OK"))</f>
        <v>OK</v>
      </c>
      <c r="M11" s="12">
        <v>46129.748078703706</v>
      </c>
      <c r="N11" s="12" cm="1" t="n">
        <f t="array" ref="N11">IF(OR(C11="",M11="",M11=0),"",M11)</f>
        <v>46129.748078703706</v>
      </c>
      <c r="O11" s="12">
</c>
      <c r="P11" s="12" cm="1" t="str">
        <f t="array" ref="P11">IF(C11="","",IF(OR(O11="",O11=0),"-",O11))</f>
        <v>-</v>
      </c>
      <c r="Q11" s="13">
        <v>0</v>
      </c>
      <c r="R11" s="9" cm="1" t="str">
        <f t="array" ref="R11">IF(C11="","",ROUND(Q11/1000000,3)&amp;" M€")</f>
        <v>0 M€</v>
      </c>
      <c r="S11" s="9" t="s">
        <v>42</v>
      </c>
      <c r="T11" s="9" cm="1" t="str">
        <f t="array" ref="T11">IF(C11="","",SUBSTITUTE(S11,"","")&amp;"%")</f>
        <v>10%</v>
      </c>
      <c r="U11" s="11" cm="1" t="str">
        <f t="array" ref="U11">IF(($N11="")*($P11=""),"",IF(($N11&lt;&gt;"")*($N11&gt;TODAY()-9)*($N11&lt;TODAY()+1)*($P11&lt;&gt;"")*($P11&gt;=TODAY())*($P11&lt;=TODAY()+13),"Semaine passée &amp; à venir",IF(($N11&lt;&gt;"")*($N11&gt;TODAY()-9)*($N11&lt;TODAY()+1),"Semaine passée",IF(($P11&lt;&gt;"")*($P11&gt;=TODAY())*($P11&lt;=TODAY()+13),"À venir","Autre"))))</f>
        <v>Autre</v>
      </c>
      <c r="V11" s="5" cm="1" t="n">
        <f t="array" ref="V11">IF(C11&lt;&gt;"",1,0)</f>
        <v>1</v>
      </c>
      <c r="W11" s="5">
</c>
      <c r="X11" s="5">
</c>
      <c r="Y11" s="5">
</c>
      <c r="Z11" s="5">
</c>
      <c r="AA11" s="5">
</c>
      <c r="AB11" s="5">
</c>
      <c r="AC11" s="5">
</c>
      <c r="AD11" s="5">
</c>
      <c r="AE11" s="5">
</c>
      <c r="AF11" s="5">
</c>
      <c r="AG11" s="5">
</c>
      <c r="AH11" s="5">
</c>
      <c r="AI11" s="5">
</c>
      <c r="AJ11" s="5">
</c>
    </row>
    <row r="12" ht="81" customHeight="1">
      <c r="A12" s="6" t="s">
        <v>23</v>
      </c>
      <c r="B12" s="6" t="s">
        <v>63</v>
      </c>
      <c r="C12" s="9" t="s">
        <v>64</v>
      </c>
      <c r="D12" s="9" t="s">
        <v>65</v>
      </c>
      <c r="E12" s="6" t="s">
        <v>27</v>
      </c>
      <c r="F12" s="5" t="s">
        <v>66</v>
      </c>
      <c r="G12" s="10" cm="1" t="str">
        <f t="array" ref="G12">IF(F12="","",SUBSTITUTE(SUBSTITUTE(SUBSTITUTE(SUBSTITUTE(F12,"&lt;li&gt;",CHAR(10)),"&lt;/li&gt;",""),"&lt;br&gt;",CHAR(10)),"&lt;strong&gt;",""))</f>
        <v>&lt;p&gt;RDV pris avec Sergey Buchin (MFO Monaco, ex-Oil &amp;amp; Gas, CleanTech). MFO = gestion UHNWI, pas de VC, focus PE/infra. Intérêt stratégique secteur vert, mais rendement 2.5x jugé trop faible (vise 10x), Article 9 difficile à vendre. Attente retour Sergei, clarif. intérêt LPs, intro, taille tickets.&lt;/p&gt;</v>
      </c>
      <c r="H12" s="10" cm="1" t="str">
        <f t="array" ref="H12">IF(G12="","",SUBSTITUTE(SUBSTITUTE(SUBSTITUTE(SUBSTITUTE(SUBSTITUTE(G12,"&lt;p&gt;",""),"&lt;/p&gt;",""),"&lt;ul&gt;",""),"&lt;/ul&gt;",""),"&lt;/strong&gt;",""))</f>
        <v>RDV pris avec Sergey Buchin (MFO Monaco, ex-Oil &amp;amp; Gas, CleanTech). MFO = gestion UHNWI, pas de VC, focus PE/infra. Intérêt stratégique secteur vert, mais rendement 2.5x jugé trop faible (vise 10x), Article 9 difficile à vendre. Attente retour Sergei, clarif. intérêt LPs, intro, taille tickets.</v>
      </c>
      <c r="I12" s="11" cm="1" t="str">
        <f t="array" ref="I12">IF(C12="","",IF(OR(H12="",H12=0,H12=FALSE),"-",H12))</f>
        <v>RDV pris avec Sergey Buchin (MFO Monaco, ex-Oil &amp;amp; Gas, CleanTech). MFO = gestion UHNWI, pas de VC, focus PE/infra. Intérêt stratégique secteur vert, mais rendement 2.5x jugé trop faible (vise 10x), Article 9 difficile à vendre. Attente retour Sergei, clarif. intérêt LPs, intro, taille tickets.</v>
      </c>
      <c r="J12" s="5">
</c>
      <c r="K12" s="6" t="s">
        <v>29</v>
      </c>
      <c r="L12" s="6" cm="1" t="str">
        <f t="array" ref="L12">IF(C12="","",IF(K12="Mort / Plus rien à faire","KO","OK"))</f>
        <v>OK</v>
      </c>
      <c r="M12" s="12">
        <v>46139.498715277776</v>
      </c>
      <c r="N12" s="12" cm="1" t="n">
        <f t="array" ref="N12">IF(OR(C12="",M12="",M12=0),"",M12)</f>
        <v>46139.498715277776</v>
      </c>
      <c r="O12" s="12">
</c>
      <c r="P12" s="12" cm="1" t="str">
        <f t="array" ref="P12">IF(C12="","",IF(OR(O12="",O12=0),"-",O12))</f>
        <v>-</v>
      </c>
      <c r="Q12" s="13">
        <v>0</v>
      </c>
      <c r="R12" s="9" cm="1" t="str">
        <f t="array" ref="R12">IF(C12="","",ROUND(Q12/1000000,3)&amp;" M€")</f>
        <v>0 M€</v>
      </c>
      <c r="S12" s="9" t="s">
        <v>42</v>
      </c>
      <c r="T12" s="9" cm="1" t="str">
        <f t="array" ref="T12">IF(C12="","",SUBSTITUTE(S12,"","")&amp;"%")</f>
        <v>10%</v>
      </c>
      <c r="U12" s="11" cm="1" t="str">
        <f t="array" ref="U12">IF(($N12="")*($P12=""),"",IF(($N12&lt;&gt;"")*($N12&gt;TODAY()-9)*($N12&lt;TODAY()+1)*($P12&lt;&gt;"")*($P12&gt;=TODAY())*($P12&lt;=TODAY()+13),"Semaine passée &amp; à venir",IF(($N12&lt;&gt;"")*($N12&gt;TODAY()-9)*($N12&lt;TODAY()+1),"Semaine passée",IF(($P12&lt;&gt;"")*($P12&gt;=TODAY())*($P12&lt;=TODAY()+13),"À venir","Autre"))))</f>
        <v>Semaine passée</v>
      </c>
      <c r="V12" s="5" cm="1" t="n">
        <f t="array" ref="V12">IF(C12&lt;&gt;"",1,0)</f>
        <v>1</v>
      </c>
      <c r="W12" s="5">
</c>
      <c r="X12" s="5">
</c>
      <c r="Y12" s="5">
</c>
      <c r="Z12" s="5">
</c>
      <c r="AA12" s="5">
</c>
      <c r="AB12" s="5">
</c>
      <c r="AC12" s="5">
</c>
      <c r="AD12" s="5">
</c>
      <c r="AE12" s="5">
</c>
      <c r="AF12" s="5">
</c>
      <c r="AG12" s="5">
</c>
      <c r="AH12" s="5">
</c>
      <c r="AI12" s="5">
</c>
      <c r="AJ12" s="5">
</c>
    </row>
    <row r="13" ht="81" customHeight="1">
      <c r="A13" s="6" t="s">
        <v>23</v>
      </c>
      <c r="B13" s="6">
</c>
      <c r="C13" s="9" t="s">
        <v>59</v>
      </c>
      <c r="D13" s="9" t="s">
        <v>67</v>
      </c>
      <c r="E13" s="6" t="s">
        <v>27</v>
      </c>
      <c r="F13" s="5" t="s">
        <v>68</v>
      </c>
      <c r="G13" s="10" cm="1" t="str">
        <f t="array" ref="G13">IF(F13="","",SUBSTITUTE(SUBSTITUTE(SUBSTITUTE(SUBSTITUTE(F13,"&lt;li&gt;",CHAR(10)),"&lt;/li&gt;",""),"&lt;br&gt;",CHAR(10)),"&lt;strong&gt;",""))</f>
        <v>&lt;p&gt;Deck envoyé après rencontre Charles/Laurent, suite à lead LG. Suivi à faire : contacter Thomas Riche Poussin à Londres pour avancer discussion fonds de fonds. Nouvelle piste créée équipe Ventes. Pas de retour prospect sur fonds pour l’instant. Dernière action 29/04/2026.&lt;/p&gt;</v>
      </c>
      <c r="H13" s="10" cm="1" t="str">
        <f t="array" ref="H13">IF(G13="","",SUBSTITUTE(SUBSTITUTE(SUBSTITUTE(SUBSTITUTE(SUBSTITUTE(G13,"&lt;p&gt;",""),"&lt;/p&gt;",""),"&lt;ul&gt;",""),"&lt;/ul&gt;",""),"&lt;/strong&gt;",""))</f>
        <v>Deck envoyé après rencontre Charles/Laurent, suite à lead LG. Suivi à faire : contacter Thomas Riche Poussin à Londres pour avancer discussion fonds de fonds. Nouvelle piste créée équipe Ventes. Pas de retour prospect sur fonds pour l’instant. Dernière action 29/04/2026.</v>
      </c>
      <c r="I13" s="11" cm="1" t="str">
        <f t="array" ref="I13">IF(C13="","",IF(OR(H13="",H13=0,H13=FALSE),"-",H13))</f>
        <v>Deck envoyé après rencontre Charles/Laurent, suite à lead LG. Suivi à faire : contacter Thomas Riche Poussin à Londres pour avancer discussion fonds de fonds. Nouvelle piste créée équipe Ventes. Pas de retour prospect sur fonds pour l’instant. Dernière action 29/04/2026.</v>
      </c>
      <c r="J13" s="5">
</c>
      <c r="K13" s="6" t="s">
        <v>29</v>
      </c>
      <c r="L13" s="6" cm="1" t="str">
        <f t="array" ref="L13">IF(C13="","",IF(K13="Mort / Plus rien à faire","KO","OK"))</f>
        <v>OK</v>
      </c>
      <c r="M13" s="12">
        <v>46141.590578703705</v>
      </c>
      <c r="N13" s="12" cm="1" t="n">
        <f t="array" ref="N13">IF(OR(C13="",M13="",M13=0),"",M13)</f>
        <v>46141.590578703705</v>
      </c>
      <c r="O13" s="12">
</c>
      <c r="P13" s="12" cm="1" t="str">
        <f t="array" ref="P13">IF(C13="","",IF(OR(O13="",O13=0),"-",O13))</f>
        <v>-</v>
      </c>
      <c r="Q13" s="13">
        <v>0</v>
      </c>
      <c r="R13" s="9" cm="1" t="str">
        <f t="array" ref="R13">IF(C13="","",ROUND(Q13/1000000,3)&amp;" M€")</f>
        <v>0 M€</v>
      </c>
      <c r="S13" s="9" t="s">
        <v>42</v>
      </c>
      <c r="T13" s="9" cm="1" t="str">
        <f t="array" ref="T13">IF(C13="","",SUBSTITUTE(S13,"","")&amp;"%")</f>
        <v>10%</v>
      </c>
      <c r="U13" s="11" cm="1" t="str">
        <f t="array" ref="U13">IF(($N13="")*($P13=""),"",IF(($N13&lt;&gt;"")*($N13&gt;TODAY()-9)*($N13&lt;TODAY()+1)*($P13&lt;&gt;"")*($P13&gt;=TODAY())*($P13&lt;=TODAY()+13),"Semaine passée &amp; à venir",IF(($N13&lt;&gt;"")*($N13&gt;TODAY()-9)*($N13&lt;TODAY()+1),"Semaine passée",IF(($P13&lt;&gt;"")*($P13&gt;=TODAY())*($P13&lt;=TODAY()+13),"À venir","Autre"))))</f>
        <v>Semaine passée</v>
      </c>
      <c r="V13" s="5" cm="1" t="n">
        <f t="array" ref="V13">IF(C13&lt;&gt;"",1,0)</f>
        <v>1</v>
      </c>
      <c r="W13" s="5">
</c>
      <c r="X13" s="5">
</c>
      <c r="Y13" s="5">
</c>
      <c r="Z13" s="5">
</c>
      <c r="AA13" s="5">
</c>
      <c r="AB13" s="5">
</c>
      <c r="AC13" s="5">
</c>
      <c r="AD13" s="5">
</c>
      <c r="AE13" s="5">
</c>
      <c r="AF13" s="5">
</c>
      <c r="AG13" s="5">
</c>
      <c r="AH13" s="5">
</c>
      <c r="AI13" s="5">
</c>
      <c r="AJ13" s="5">
</c>
    </row>
    <row r="14" ht="81" customHeight="1">
      <c r="A14" s="6" t="s">
        <v>23</v>
      </c>
      <c r="B14" s="6">
</c>
      <c r="C14" s="9" t="s">
        <v>69</v>
      </c>
      <c r="D14" s="9" t="s">
        <v>70</v>
      </c>
      <c r="E14" s="6" t="s">
        <v>34</v>
      </c>
      <c r="F14" s="5" t="s">
        <v>71</v>
      </c>
      <c r="G14" s="10" cm="1" t="str">
        <f t="array" ref="G14">IF(F14="","",SUBSTITUTE(SUBSTITUTE(SUBSTITUTE(SUBSTITUTE(F14,"&lt;li&gt;",CHAR(10)),"&lt;/li&gt;",""),"&lt;br&gt;",CHAR(10)),"&lt;strong&gt;",""))</f>
        <v>&lt;p&gt;Nouvelle piste créée pour équipe Ventes, relance effectuée par Romain Andrieu. Pas d'autres actions ou retours du prospect mentionnés. Prochaines étapes non précisées, attente de réponse suite à la relance.&lt;/p&gt;</v>
      </c>
      <c r="H14" s="10" cm="1" t="str">
        <f t="array" ref="H14">IF(G14="","",SUBSTITUTE(SUBSTITUTE(SUBSTITUTE(SUBSTITUTE(SUBSTITUTE(G14,"&lt;p&gt;",""),"&lt;/p&gt;",""),"&lt;ul&gt;",""),"&lt;/ul&gt;",""),"&lt;/strong&gt;",""))</f>
        <v>Nouvelle piste créée pour équipe Ventes, relance effectuée par Romain Andrieu. Pas d'autres actions ou retours du prospect mentionnés. Prochaines étapes non précisées, attente de réponse suite à la relance.</v>
      </c>
      <c r="I14" s="11" cm="1" t="str">
        <f t="array" ref="I14">IF(C14="","",IF(OR(H14="",H14=0,H14=FALSE),"-",H14))</f>
        <v>Nouvelle piste créée pour équipe Ventes, relance effectuée par Romain Andrieu. Pas d'autres actions ou retours du prospect mentionnés. Prochaines étapes non précisées, attente de réponse suite à la relance.</v>
      </c>
      <c r="J14" s="5">
</c>
      <c r="K14" s="6" t="s">
        <v>72</v>
      </c>
      <c r="L14" s="6" cm="1" t="str">
        <f t="array" ref="L14">IF(C14="","",IF(K14="Mort / Plus rien à faire","KO","OK"))</f>
        <v>OK</v>
      </c>
      <c r="M14" s="12">
        <v>46135.78428240741</v>
      </c>
      <c r="N14" s="12" cm="1" t="n">
        <f t="array" ref="N14">IF(OR(C14="",M14="",M14=0),"",M14)</f>
        <v>46135.78428240741</v>
      </c>
      <c r="O14" s="12">
</c>
      <c r="P14" s="12" cm="1" t="str">
        <f t="array" ref="P14">IF(C14="","",IF(OR(O14="",O14=0),"-",O14))</f>
        <v>-</v>
      </c>
      <c r="Q14" s="13">
        <v>0</v>
      </c>
      <c r="R14" s="9" cm="1" t="str">
        <f t="array" ref="R14">IF(C14="","",ROUND(Q14/1000000,3)&amp;" M€")</f>
        <v>0 M€</v>
      </c>
      <c r="S14" s="9" t="s">
        <v>42</v>
      </c>
      <c r="T14" s="9" cm="1" t="str">
        <f t="array" ref="T14">IF(C14="","",SUBSTITUTE(S14,"","")&amp;"%")</f>
        <v>10%</v>
      </c>
      <c r="U14" s="11" cm="1" t="str">
        <f t="array" ref="U14">IF(($N14="")*($P14=""),"",IF(($N14&lt;&gt;"")*($N14&gt;TODAY()-9)*($N14&lt;TODAY()+1)*($P14&lt;&gt;"")*($P14&gt;=TODAY())*($P14&lt;=TODAY()+13),"Semaine passée &amp; à venir",IF(($N14&lt;&gt;"")*($N14&gt;TODAY()-9)*($N14&lt;TODAY()+1),"Semaine passée",IF(($P14&lt;&gt;"")*($P14&gt;=TODAY())*($P14&lt;=TODAY()+13),"À venir","Autre"))))</f>
        <v>Autre</v>
      </c>
      <c r="V14" s="5" cm="1" t="n">
        <f t="array" ref="V14">IF(C14&lt;&gt;"",1,0)</f>
        <v>1</v>
      </c>
      <c r="W14" s="5">
</c>
      <c r="X14" s="5">
</c>
      <c r="Y14" s="5">
</c>
      <c r="Z14" s="5">
</c>
      <c r="AA14" s="5">
</c>
      <c r="AB14" s="5">
</c>
      <c r="AC14" s="5">
</c>
      <c r="AD14" s="5">
</c>
      <c r="AE14" s="5">
</c>
      <c r="AF14" s="5">
</c>
      <c r="AG14" s="5">
</c>
      <c r="AH14" s="5">
</c>
      <c r="AI14" s="5">
</c>
      <c r="AJ14" s="5">
</c>
    </row>
    <row r="15" ht="81" customHeight="1">
      <c r="A15" s="6" t="s">
        <v>23</v>
      </c>
      <c r="B15" s="6" t="s">
        <v>58</v>
      </c>
      <c r="C15" s="9" t="s">
        <v>73</v>
      </c>
      <c r="D15" s="9" t="s">
        <v>74</v>
      </c>
      <c r="E15" s="6" t="s">
        <v>34</v>
      </c>
      <c r="F15" s="5" t="s">
        <v>75</v>
      </c>
      <c r="G15" s="10" cm="1" t="str">
        <f t="array" ref="G15">IF(F15="","",SUBSTITUTE(SUBSTITUTE(SUBSTITUTE(SUBSTITUTE(F15,"&lt;li&gt;",CHAR(10)),"&lt;/li&gt;",""),"&lt;br&gt;",CHAR(10)),"&lt;strong&gt;",""))</f>
        <v>&lt;p&gt;Nouvelle piste créée pour équipe Ventes, relance effectuée par Romain Andrieu le 23/04/2026. Aucune autre activité ou retour prospect enregistré à ce jour. Prochaines étapes non planifiées, attente de réponse suite relance.&lt;/p&gt;</v>
      </c>
      <c r="H15" s="10" cm="1" t="str">
        <f t="array" ref="H15">IF(G15="","",SUBSTITUTE(SUBSTITUTE(SUBSTITUTE(SUBSTITUTE(SUBSTITUTE(G15,"&lt;p&gt;",""),"&lt;/p&gt;",""),"&lt;ul&gt;",""),"&lt;/ul&gt;",""),"&lt;/strong&gt;",""))</f>
        <v>Nouvelle piste créée pour équipe Ventes, relance effectuée par Romain Andrieu le 23/04/2026. Aucune autre activité ou retour prospect enregistré à ce jour. Prochaines étapes non planifiées, attente de réponse suite relance.</v>
      </c>
      <c r="I15" s="11" cm="1" t="str">
        <f t="array" ref="I15">IF(C15="","",IF(OR(H15="",H15=0,H15=FALSE),"-",H15))</f>
        <v>Nouvelle piste créée pour équipe Ventes, relance effectuée par Romain Andrieu le 23/04/2026. Aucune autre activité ou retour prospect enregistré à ce jour. Prochaines étapes non planifiées, attente de réponse suite relance.</v>
      </c>
      <c r="J15" s="5">
</c>
      <c r="K15" s="6" t="s">
        <v>72</v>
      </c>
      <c r="L15" s="6" cm="1" t="str">
        <f t="array" ref="L15">IF(C15="","",IF(K15="Mort / Plus rien à faire","KO","OK"))</f>
        <v>OK</v>
      </c>
      <c r="M15" s="12">
        <v>46135.784004629626</v>
      </c>
      <c r="N15" s="12" cm="1" t="n">
        <f t="array" ref="N15">IF(OR(C15="",M15="",M15=0),"",M15)</f>
        <v>46135.784004629626</v>
      </c>
      <c r="O15" s="12">
</c>
      <c r="P15" s="12" cm="1" t="str">
        <f t="array" ref="P15">IF(C15="","",IF(OR(O15="",O15=0),"-",O15))</f>
        <v>-</v>
      </c>
      <c r="Q15" s="13">
        <v>0</v>
      </c>
      <c r="R15" s="9" cm="1" t="str">
        <f t="array" ref="R15">IF(C15="","",ROUND(Q15/1000000,3)&amp;" M€")</f>
        <v>0 M€</v>
      </c>
      <c r="S15" s="9" t="s">
        <v>42</v>
      </c>
      <c r="T15" s="9" cm="1" t="str">
        <f t="array" ref="T15">IF(C15="","",SUBSTITUTE(S15,"","")&amp;"%")</f>
        <v>10%</v>
      </c>
      <c r="U15" s="11" cm="1" t="str">
        <f t="array" ref="U15">IF(($N15="")*($P15=""),"",IF(($N15&lt;&gt;"")*($N15&gt;TODAY()-9)*($N15&lt;TODAY()+1)*($P15&lt;&gt;"")*($P15&gt;=TODAY())*($P15&lt;=TODAY()+13),"Semaine passée &amp; à venir",IF(($N15&lt;&gt;"")*($N15&gt;TODAY()-9)*($N15&lt;TODAY()+1),"Semaine passée",IF(($P15&lt;&gt;"")*($P15&gt;=TODAY())*($P15&lt;=TODAY()+13),"À venir","Autre"))))</f>
        <v>Autre</v>
      </c>
      <c r="V15" s="5" cm="1" t="n">
        <f t="array" ref="V15">IF(C15&lt;&gt;"",1,0)</f>
        <v>1</v>
      </c>
      <c r="W15" s="5">
</c>
      <c r="X15" s="5">
</c>
      <c r="Y15" s="5">
</c>
      <c r="Z15" s="5">
</c>
      <c r="AA15" s="5">
</c>
      <c r="AB15" s="5">
</c>
      <c r="AC15" s="5">
</c>
      <c r="AD15" s="5">
</c>
      <c r="AE15" s="5">
</c>
      <c r="AF15" s="5">
</c>
      <c r="AG15" s="5">
</c>
      <c r="AH15" s="5">
</c>
      <c r="AI15" s="5">
</c>
      <c r="AJ15" s="5">
</c>
    </row>
    <row r="16" ht="81" customHeight="1">
      <c r="A16" s="6" t="s">
        <v>23</v>
      </c>
      <c r="B16" s="6" t="s">
        <v>76</v>
      </c>
      <c r="C16" s="9" t="s">
        <v>77</v>
      </c>
      <c r="D16" s="9" t="s">
        <v>78</v>
      </c>
      <c r="E16" s="6" t="s">
        <v>34</v>
      </c>
      <c r="F16" s="5" t="s">
        <v>79</v>
      </c>
      <c r="G16" s="10" cm="1" t="str">
        <f t="array" ref="G16">IF(F16="","",SUBSTITUTE(SUBSTITUTE(SUBSTITUTE(SUBSTITUTE(F16,"&lt;li&gt;",CHAR(10)),"&lt;/li&gt;",""),"&lt;br&gt;",CHAR(10)),"&lt;strong&gt;",""))</f>
        <v>&lt;p&gt;Thierry Vallet rejoint GP 1,3bn (ARKEA Capital) avec Pierre-Emmanuel Boulic, relation positive. Insistance sur l'identité du responsable ESG côté équipe. Nouvelle piste créée pour équipe Ventes. Pas d'autres actions ou retours prospect sur fonds. Prochaines étapes non précisées.&lt;/p&gt;</v>
      </c>
      <c r="H16" s="10" cm="1" t="str">
        <f t="array" ref="H16">IF(G16="","",SUBSTITUTE(SUBSTITUTE(SUBSTITUTE(SUBSTITUTE(SUBSTITUTE(G16,"&lt;p&gt;",""),"&lt;/p&gt;",""),"&lt;ul&gt;",""),"&lt;/ul&gt;",""),"&lt;/strong&gt;",""))</f>
        <v>Thierry Vallet rejoint GP 1,3bn (ARKEA Capital) avec Pierre-Emmanuel Boulic, relation positive. Insistance sur l'identité du responsable ESG côté équipe. Nouvelle piste créée pour équipe Ventes. Pas d'autres actions ou retours prospect sur fonds. Prochaines étapes non précisées.</v>
      </c>
      <c r="I16" s="11" cm="1" t="str">
        <f t="array" ref="I16">IF(C16="","",IF(OR(H16="",H16=0,H16=FALSE),"-",H16))</f>
        <v>Thierry Vallet rejoint GP 1,3bn (ARKEA Capital) avec Pierre-Emmanuel Boulic, relation positive. Insistance sur l'identité du responsable ESG côté équipe. Nouvelle piste créée pour équipe Ventes. Pas d'autres actions ou retours prospect sur fonds. Prochaines étapes non précisées.</v>
      </c>
      <c r="J16" s="5">
</c>
      <c r="K16" s="6" t="s">
        <v>72</v>
      </c>
      <c r="L16" s="6" cm="1" t="str">
        <f t="array" ref="L16">IF(C16="","",IF(K16="Mort / Plus rien à faire","KO","OK"))</f>
        <v>OK</v>
      </c>
      <c r="M16" s="12">
        <v>46135.81023148148</v>
      </c>
      <c r="N16" s="12" cm="1" t="n">
        <f t="array" ref="N16">IF(OR(C16="",M16="",M16=0),"",M16)</f>
        <v>46135.81023148148</v>
      </c>
      <c r="O16" s="12">
</c>
      <c r="P16" s="12" cm="1" t="str">
        <f t="array" ref="P16">IF(C16="","",IF(OR(O16="",O16=0),"-",O16))</f>
        <v>-</v>
      </c>
      <c r="Q16" s="13">
        <v>0</v>
      </c>
      <c r="R16" s="9" cm="1" t="str">
        <f t="array" ref="R16">IF(C16="","",ROUND(Q16/1000000,3)&amp;" M€")</f>
        <v>0 M€</v>
      </c>
      <c r="S16" s="9" t="s">
        <v>42</v>
      </c>
      <c r="T16" s="9" cm="1" t="str">
        <f t="array" ref="T16">IF(C16="","",SUBSTITUTE(S16,"","")&amp;"%")</f>
        <v>10%</v>
      </c>
      <c r="U16" s="11" cm="1" t="str">
        <f t="array" ref="U16">IF(($N16="")*($P16=""),"",IF(($N16&lt;&gt;"")*($N16&gt;TODAY()-9)*($N16&lt;TODAY()+1)*($P16&lt;&gt;"")*($P16&gt;=TODAY())*($P16&lt;=TODAY()+13),"Semaine passée &amp; à venir",IF(($N16&lt;&gt;"")*($N16&gt;TODAY()-9)*($N16&lt;TODAY()+1),"Semaine passée",IF(($P16&lt;&gt;"")*($P16&gt;=TODAY())*($P16&lt;=TODAY()+13),"À venir","Autre"))))</f>
        <v>Autre</v>
      </c>
      <c r="V16" s="5" cm="1" t="n">
        <f t="array" ref="V16">IF(C16&lt;&gt;"",1,0)</f>
        <v>1</v>
      </c>
      <c r="W16" s="5">
</c>
      <c r="X16" s="5">
</c>
      <c r="Y16" s="5">
</c>
      <c r="Z16" s="5">
</c>
      <c r="AA16" s="5">
</c>
      <c r="AB16" s="5">
</c>
      <c r="AC16" s="5">
</c>
      <c r="AD16" s="5">
</c>
      <c r="AE16" s="5">
</c>
      <c r="AF16" s="5">
</c>
      <c r="AG16" s="5">
</c>
      <c r="AH16" s="5">
</c>
      <c r="AI16" s="5">
</c>
      <c r="AJ16" s="5">
</c>
    </row>
    <row r="17" ht="81" customHeight="1">
      <c r="A17" s="6" t="s">
        <v>23</v>
      </c>
      <c r="B17" s="6" t="s">
        <v>80</v>
      </c>
      <c r="C17" s="9" t="s">
        <v>81</v>
      </c>
      <c r="D17" s="9" t="s">
        <v>82</v>
      </c>
      <c r="E17" s="6" t="s">
        <v>27</v>
      </c>
      <c r="F17" s="5" t="s">
        <v>83</v>
      </c>
      <c r="G17" s="10" cm="1" t="str">
        <f t="array" ref="G17">IF(F17="","",SUBSTITUTE(SUBSTITUTE(SUBSTITUTE(SUBSTITUTE(F17,"&lt;li&gt;",CHAR(10)),"&lt;/li&gt;",""),"&lt;br&gt;",CHAR(10)),"&lt;strong&gt;",""))</f>
        <v>&lt;p&gt;Nouvelle piste créée pour équipe Ventes. Levée de Fonds connecte investisseurs/family offices à opportunités marchés privés (Private Equity, VC, immobilier, tech), ex : transaction 3,8 M€ Monaco restaurant. RDV proposé le 4 Mai. Pas d'autres actions ni retours prospects mentionnés.&lt;/p&gt;</v>
      </c>
      <c r="H17" s="10" cm="1" t="str">
        <f t="array" ref="H17">IF(G17="","",SUBSTITUTE(SUBSTITUTE(SUBSTITUTE(SUBSTITUTE(SUBSTITUTE(G17,"&lt;p&gt;",""),"&lt;/p&gt;",""),"&lt;ul&gt;",""),"&lt;/ul&gt;",""),"&lt;/strong&gt;",""))</f>
        <v>Nouvelle piste créée pour équipe Ventes. Levée de Fonds connecte investisseurs/family offices à opportunités marchés privés (Private Equity, VC, immobilier, tech), ex : transaction 3,8 M€ Monaco restaurant. RDV proposé le 4 Mai. Pas d'autres actions ni retours prospects mentionnés.</v>
      </c>
      <c r="I17" s="11" cm="1" t="str">
        <f t="array" ref="I17">IF(C17="","",IF(OR(H17="",H17=0,H17=FALSE),"-",H17))</f>
        <v>Nouvelle piste créée pour équipe Ventes. Levée de Fonds connecte investisseurs/family offices à opportunités marchés privés (Private Equity, VC, immobilier, tech), ex : transaction 3,8 M€ Monaco restaurant. RDV proposé le 4 Mai. Pas d'autres actions ni retours prospects mentionnés.</v>
      </c>
      <c r="J17" s="5">
</c>
      <c r="K17" s="6" t="s">
        <v>41</v>
      </c>
      <c r="L17" s="6" cm="1" t="str">
        <f t="array" ref="L17">IF(C17="","",IF(K17="Mort / Plus rien à faire","KO","OK"))</f>
        <v>OK</v>
      </c>
      <c r="M17" s="12">
        <v>46139.480844907404</v>
      </c>
      <c r="N17" s="12" cm="1" t="n">
        <f t="array" ref="N17">IF(OR(C17="",M17="",M17=0),"",M17)</f>
        <v>46139.480844907404</v>
      </c>
      <c r="O17" s="12">
</c>
      <c r="P17" s="12" cm="1" t="str">
        <f t="array" ref="P17">IF(C17="","",IF(OR(O17="",O17=0),"-",O17))</f>
        <v>-</v>
      </c>
      <c r="Q17" s="13">
        <v>0</v>
      </c>
      <c r="R17" s="9" cm="1" t="str">
        <f t="array" ref="R17">IF(C17="","",ROUND(Q17/1000000,3)&amp;" M€")</f>
        <v>0 M€</v>
      </c>
      <c r="S17" s="9" t="s">
        <v>42</v>
      </c>
      <c r="T17" s="9" cm="1" t="str">
        <f t="array" ref="T17">IF(C17="","",SUBSTITUTE(S17,"","")&amp;"%")</f>
        <v>10%</v>
      </c>
      <c r="U17" s="11" cm="1" t="str">
        <f t="array" ref="U17">IF(($N17="")*($P17=""),"",IF(($N17&lt;&gt;"")*($N17&gt;TODAY()-9)*($N17&lt;TODAY()+1)*($P17&lt;&gt;"")*($P17&gt;=TODAY())*($P17&lt;=TODAY()+13),"Semaine passée &amp; à venir",IF(($N17&lt;&gt;"")*($N17&gt;TODAY()-9)*($N17&lt;TODAY()+1),"Semaine passée",IF(($P17&lt;&gt;"")*($P17&gt;=TODAY())*($P17&lt;=TODAY()+13),"À venir","Autre"))))</f>
        <v>Semaine passée</v>
      </c>
      <c r="V17" s="5" cm="1" t="n">
        <f t="array" ref="V17">IF(C17&lt;&gt;"",1,0)</f>
        <v>1</v>
      </c>
      <c r="W17" s="5">
</c>
      <c r="X17" s="5">
</c>
      <c r="Y17" s="5">
</c>
      <c r="Z17" s="5">
</c>
      <c r="AA17" s="5">
</c>
      <c r="AB17" s="5">
</c>
      <c r="AC17" s="5">
</c>
      <c r="AD17" s="5">
</c>
      <c r="AE17" s="5">
</c>
      <c r="AF17" s="5">
</c>
      <c r="AG17" s="5">
</c>
      <c r="AH17" s="5">
</c>
      <c r="AI17" s="5">
</c>
      <c r="AJ17" s="5">
</c>
    </row>
    <row r="18" ht="81" customHeight="1">
      <c r="A18" s="6" t="s">
        <v>23</v>
      </c>
      <c r="B18" s="6" t="s">
        <v>84</v>
      </c>
      <c r="C18" s="9" t="s">
        <v>85</v>
      </c>
      <c r="D18" s="9" t="s">
        <v>86</v>
      </c>
      <c r="E18" s="6" t="s">
        <v>27</v>
      </c>
      <c r="F18" s="5" t="s">
        <v>87</v>
      </c>
      <c r="G18" s="10" cm="1" t="str">
        <f t="array" ref="G18">IF(F18="","",SUBSTITUTE(SUBSTITUTE(SUBSTITUTE(SUBSTITUTE(F18,"&lt;li&gt;",CHAR(10)),"&lt;/li&gt;",""),"&lt;br&gt;",CHAR(10)),"&lt;strong&gt;",""))</f>
        <v>&lt;p&gt;Contact établi avec prospect Levée de Fonds, intérêt confirmé pour la décarbonation. Proposition d'appel introductif le 27/04 à 15h (Bangkok). En attente de confirmation du créneau ou d'une nouvelle proposition de date. Aucune autre activité ou retour prospect enregistré à ce stade.&lt;/p&gt;</v>
      </c>
      <c r="H18" s="10" cm="1" t="str">
        <f t="array" ref="H18">IF(G18="","",SUBSTITUTE(SUBSTITUTE(SUBSTITUTE(SUBSTITUTE(SUBSTITUTE(G18,"&lt;p&gt;",""),"&lt;/p&gt;",""),"&lt;ul&gt;",""),"&lt;/ul&gt;",""),"&lt;/strong&gt;",""))</f>
        <v>Contact établi avec prospect Levée de Fonds, intérêt confirmé pour la décarbonation. Proposition d'appel introductif le 27/04 à 15h (Bangkok). En attente de confirmation du créneau ou d'une nouvelle proposition de date. Aucune autre activité ou retour prospect enregistré à ce stade.</v>
      </c>
      <c r="I18" s="11" cm="1" t="str">
        <f t="array" ref="I18">IF(C18="","",IF(OR(H18="",H18=0,H18=FALSE),"-",H18))</f>
        <v>Contact établi avec prospect Levée de Fonds, intérêt confirmé pour la décarbonation. Proposition d'appel introductif le 27/04 à 15h (Bangkok). En attente de confirmation du créneau ou d'une nouvelle proposition de date. Aucune autre activité ou retour prospect enregistré à ce stade.</v>
      </c>
      <c r="J18" s="5">
</c>
      <c r="K18" s="6" t="s">
        <v>41</v>
      </c>
      <c r="L18" s="6" cm="1" t="str">
        <f t="array" ref="L18">IF(C18="","",IF(K18="Mort / Plus rien à faire","KO","OK"))</f>
        <v>OK</v>
      </c>
      <c r="M18" s="12">
        <v>46139.483298611114</v>
      </c>
      <c r="N18" s="12" cm="1" t="n">
        <f t="array" ref="N18">IF(OR(C18="",M18="",M18=0),"",M18)</f>
        <v>46139.483298611114</v>
      </c>
      <c r="O18" s="12">
</c>
      <c r="P18" s="12" cm="1" t="str">
        <f t="array" ref="P18">IF(C18="","",IF(OR(O18="",O18=0),"-",O18))</f>
        <v>-</v>
      </c>
      <c r="Q18" s="13">
        <v>0</v>
      </c>
      <c r="R18" s="9" cm="1" t="str">
        <f t="array" ref="R18">IF(C18="","",ROUND(Q18/1000000,3)&amp;" M€")</f>
        <v>0 M€</v>
      </c>
      <c r="S18" s="9" t="s">
        <v>42</v>
      </c>
      <c r="T18" s="9" cm="1" t="str">
        <f t="array" ref="T18">IF(C18="","",SUBSTITUTE(S18,"","")&amp;"%")</f>
        <v>10%</v>
      </c>
      <c r="U18" s="11" cm="1" t="str">
        <f t="array" ref="U18">IF(($N18="")*($P18=""),"",IF(($N18&lt;&gt;"")*($N18&gt;TODAY()-9)*($N18&lt;TODAY()+1)*($P18&lt;&gt;"")*($P18&gt;=TODAY())*($P18&lt;=TODAY()+13),"Semaine passée &amp; à venir",IF(($N18&lt;&gt;"")*($N18&gt;TODAY()-9)*($N18&lt;TODAY()+1),"Semaine passée",IF(($P18&lt;&gt;"")*($P18&gt;=TODAY())*($P18&lt;=TODAY()+13),"À venir","Autre"))))</f>
        <v>Semaine passée</v>
      </c>
      <c r="V18" s="5" cm="1" t="n">
        <f t="array" ref="V18">IF(C18&lt;&gt;"",1,0)</f>
        <v>1</v>
      </c>
      <c r="W18" s="5">
</c>
      <c r="X18" s="5">
</c>
      <c r="Y18" s="5">
</c>
      <c r="Z18" s="5">
</c>
      <c r="AA18" s="5">
</c>
      <c r="AB18" s="5">
</c>
      <c r="AC18" s="5">
</c>
      <c r="AD18" s="5">
</c>
      <c r="AE18" s="5">
</c>
      <c r="AF18" s="5">
</c>
      <c r="AG18" s="5">
</c>
      <c r="AH18" s="5">
</c>
      <c r="AI18" s="5">
</c>
      <c r="AJ18" s="5">
</c>
    </row>
    <row r="19" ht="81" customHeight="1">
      <c r="A19" s="6" t="s">
        <v>23</v>
      </c>
      <c r="B19" s="6" t="s">
        <v>84</v>
      </c>
      <c r="C19" s="9" t="s">
        <v>88</v>
      </c>
      <c r="D19" s="9" t="s">
        <v>89</v>
      </c>
      <c r="E19" s="6" t="s">
        <v>27</v>
      </c>
      <c r="F19" s="5" t="s">
        <v>90</v>
      </c>
      <c r="G19" s="10" cm="1" t="str">
        <f t="array" ref="G19">IF(F19="","",SUBSTITUTE(SUBSTITUTE(SUBSTITUTE(SUBSTITUTE(F19,"&lt;li&gt;",CHAR(10)),"&lt;/li&gt;",""),"&lt;br&gt;",CHAR(10)),"&lt;strong&gt;",""))</f>
        <v>&lt;p&gt;Contact initié par Daham Lee (GCF) via Gareth pour explorer une collaboration, proposition de call d’intro semaine du 4 mai (5 ou 7 soir, heure Corée). Nouvelle piste créée pour équipe Ventes. En attente de retour sur disponibilité pour organiser l’échange. Aucune autre action ou retour prospect à ce stade.&lt;/p&gt;</v>
      </c>
      <c r="H19" s="10" cm="1" t="str">
        <f t="array" ref="H19">IF(G19="","",SUBSTITUTE(SUBSTITUTE(SUBSTITUTE(SUBSTITUTE(SUBSTITUTE(G19,"&lt;p&gt;",""),"&lt;/p&gt;",""),"&lt;ul&gt;",""),"&lt;/ul&gt;",""),"&lt;/strong&gt;",""))</f>
        <v>Contact initié par Daham Lee (GCF) via Gareth pour explorer une collaboration, proposition de call d’intro semaine du 4 mai (5 ou 7 soir, heure Corée). Nouvelle piste créée pour équipe Ventes. En attente de retour sur disponibilité pour organiser l’échange. Aucune autre action ou retour prospect à ce stade.</v>
      </c>
      <c r="I19" s="11" cm="1" t="str">
        <f t="array" ref="I19">IF(C19="","",IF(OR(H19="",H19=0,H19=FALSE),"-",H19))</f>
        <v>Contact initié par Daham Lee (GCF) via Gareth pour explorer une collaboration, proposition de call d’intro semaine du 4 mai (5 ou 7 soir, heure Corée). Nouvelle piste créée pour équipe Ventes. En attente de retour sur disponibilité pour organiser l’échange. Aucune autre action ou retour prospect à ce stade.</v>
      </c>
      <c r="J19" s="5">
</c>
      <c r="K19" s="6" t="s">
        <v>41</v>
      </c>
      <c r="L19" s="6" cm="1" t="str">
        <f t="array" ref="L19">IF(C19="","",IF(K19="Mort / Plus rien à faire","KO","OK"))</f>
        <v>OK</v>
      </c>
      <c r="M19" s="12">
        <v>46139.48539351852</v>
      </c>
      <c r="N19" s="12" cm="1" t="n">
        <f t="array" ref="N19">IF(OR(C19="",M19="",M19=0),"",M19)</f>
        <v>46139.48539351852</v>
      </c>
      <c r="O19" s="12">
</c>
      <c r="P19" s="12" cm="1" t="str">
        <f t="array" ref="P19">IF(C19="","",IF(OR(O19="",O19=0),"-",O19))</f>
        <v>-</v>
      </c>
      <c r="Q19" s="13">
        <v>0</v>
      </c>
      <c r="R19" s="9" cm="1" t="str">
        <f t="array" ref="R19">IF(C19="","",ROUND(Q19/1000000,3)&amp;" M€")</f>
        <v>0 M€</v>
      </c>
      <c r="S19" s="9" t="s">
        <v>42</v>
      </c>
      <c r="T19" s="9" cm="1" t="str">
        <f t="array" ref="T19">IF(C19="","",SUBSTITUTE(S19,"","")&amp;"%")</f>
        <v>10%</v>
      </c>
      <c r="U19" s="11" cm="1" t="str">
        <f t="array" ref="U19">IF(($N19="")*($P19=""),"",IF(($N19&lt;&gt;"")*($N19&gt;TODAY()-9)*($N19&lt;TODAY()+1)*($P19&lt;&gt;"")*($P19&gt;=TODAY())*($P19&lt;=TODAY()+13),"Semaine passée &amp; à venir",IF(($N19&lt;&gt;"")*($N19&gt;TODAY()-9)*($N19&lt;TODAY()+1),"Semaine passée",IF(($P19&lt;&gt;"")*($P19&gt;=TODAY())*($P19&lt;=TODAY()+13),"À venir","Autre"))))</f>
        <v>Semaine passée</v>
      </c>
      <c r="V19" s="5" cm="1" t="n">
        <f t="array" ref="V19">IF(C19&lt;&gt;"",1,0)</f>
        <v>1</v>
      </c>
      <c r="W19" s="5">
</c>
      <c r="X19" s="5">
</c>
      <c r="Y19" s="5">
</c>
      <c r="Z19" s="5">
</c>
      <c r="AA19" s="5">
</c>
      <c r="AB19" s="5">
</c>
      <c r="AC19" s="5">
</c>
      <c r="AD19" s="5">
</c>
      <c r="AE19" s="5">
</c>
      <c r="AF19" s="5">
</c>
      <c r="AG19" s="5">
</c>
      <c r="AH19" s="5">
</c>
      <c r="AI19" s="5">
</c>
      <c r="AJ19" s="5">
</c>
    </row>
    <row r="20" ht="81" customHeight="1">
      <c r="A20" s="6" t="s">
        <v>23</v>
      </c>
      <c r="B20" s="6" t="s">
        <v>63</v>
      </c>
      <c r="C20" s="9" t="s">
        <v>91</v>
      </c>
      <c r="D20" s="9" t="s">
        <v>92</v>
      </c>
      <c r="E20" s="6" t="s">
        <v>27</v>
      </c>
      <c r="F20" s="5" t="s">
        <v>93</v>
      </c>
      <c r="G20" s="10" cm="1" t="str">
        <f t="array" ref="G20">IF(F20="","",SUBSTITUTE(SUBSTITUTE(SUBSTITUTE(SUBSTITUTE(F20,"&lt;li&gt;",CHAR(10)),"&lt;/li&gt;",""),"&lt;br&gt;",CHAR(10)),"&lt;strong&gt;",""))</f>
        <v>&lt;p&gt;Nouvelle piste créée pour équipe Ventes. 28/04/26 : prospect intéressé, propose un call, Théo Salerno organise, mail envoyé avec 3 créneaux proposés. Pas d'autres actions ni retours du prospect pour l'instant. Prochaine étape : organiser et tenir le call selon disponibilité.&lt;/p&gt;</v>
      </c>
      <c r="H20" s="10" cm="1" t="str">
        <f t="array" ref="H20">IF(G20="","",SUBSTITUTE(SUBSTITUTE(SUBSTITUTE(SUBSTITUTE(SUBSTITUTE(G20,"&lt;p&gt;",""),"&lt;/p&gt;",""),"&lt;ul&gt;",""),"&lt;/ul&gt;",""),"&lt;/strong&gt;",""))</f>
        <v>Nouvelle piste créée pour équipe Ventes. 28/04/26 : prospect intéressé, propose un call, Théo Salerno organise, mail envoyé avec 3 créneaux proposés. Pas d'autres actions ni retours du prospect pour l'instant. Prochaine étape : organiser et tenir le call selon disponibilité.</v>
      </c>
      <c r="I20" s="11" cm="1" t="str">
        <f t="array" ref="I20">IF(C20="","",IF(OR(H20="",H20=0,H20=FALSE),"-",H20))</f>
        <v>Nouvelle piste créée pour équipe Ventes. 28/04/26 : prospect intéressé, propose un call, Théo Salerno organise, mail envoyé avec 3 créneaux proposés. Pas d'autres actions ni retours du prospect pour l'instant. Prochaine étape : organiser et tenir le call selon disponibilité.</v>
      </c>
      <c r="J20" s="5">
</c>
      <c r="K20" s="6" t="s">
        <v>41</v>
      </c>
      <c r="L20" s="6" cm="1" t="str">
        <f t="array" ref="L20">IF(C20="","",IF(K20="Mort / Plus rien à faire","KO","OK"))</f>
        <v>OK</v>
      </c>
      <c r="M20" s="12">
        <v>46140.49104166667</v>
      </c>
      <c r="N20" s="12" cm="1" t="n">
        <f t="array" ref="N20">IF(OR(C20="",M20="",M20=0),"",M20)</f>
        <v>46140.49104166667</v>
      </c>
      <c r="O20" s="12">
</c>
      <c r="P20" s="12" cm="1" t="str">
        <f t="array" ref="P20">IF(C20="","",IF(OR(O20="",O20=0),"-",O20))</f>
        <v>-</v>
      </c>
      <c r="Q20" s="13">
        <v>0</v>
      </c>
      <c r="R20" s="9" cm="1" t="str">
        <f t="array" ref="R20">IF(C20="","",ROUND(Q20/1000000,3)&amp;" M€")</f>
        <v>0 M€</v>
      </c>
      <c r="S20" s="9" t="s">
        <v>42</v>
      </c>
      <c r="T20" s="9" cm="1" t="str">
        <f t="array" ref="T20">IF(C20="","",SUBSTITUTE(S20,"","")&amp;"%")</f>
        <v>10%</v>
      </c>
      <c r="U20" s="11" cm="1" t="str">
        <f t="array" ref="U20">IF(($N20="")*($P20=""),"",IF(($N20&lt;&gt;"")*($N20&gt;TODAY()-9)*($N20&lt;TODAY()+1)*($P20&lt;&gt;"")*($P20&gt;=TODAY())*($P20&lt;=TODAY()+13),"Semaine passée &amp; à venir",IF(($N20&lt;&gt;"")*($N20&gt;TODAY()-9)*($N20&lt;TODAY()+1),"Semaine passée",IF(($P20&lt;&gt;"")*($P20&gt;=TODAY())*($P20&lt;=TODAY()+13),"À venir","Autre"))))</f>
        <v>Semaine passée</v>
      </c>
      <c r="V20" s="5" cm="1" t="n">
        <f t="array" ref="V20">IF(C20&lt;&gt;"",1,0)</f>
        <v>1</v>
      </c>
      <c r="W20" s="5">
</c>
      <c r="X20" s="5">
</c>
      <c r="Y20" s="5">
</c>
      <c r="Z20" s="5">
</c>
      <c r="AA20" s="5">
</c>
      <c r="AB20" s="5">
</c>
      <c r="AC20" s="5">
</c>
      <c r="AD20" s="5">
</c>
      <c r="AE20" s="5">
</c>
      <c r="AF20" s="5">
</c>
      <c r="AG20" s="5">
</c>
      <c r="AH20" s="5">
</c>
      <c r="AI20" s="5">
</c>
      <c r="AJ20" s="5">
</c>
    </row>
    <row r="21" ht="81" customHeight="1">
      <c r="A21" s="6" t="s">
        <v>23</v>
      </c>
      <c r="B21" s="6" t="s">
        <v>24</v>
      </c>
      <c r="C21" s="9" t="s">
        <v>94</v>
      </c>
      <c r="D21" s="9" t="s">
        <v>95</v>
      </c>
      <c r="E21" s="6" t="s">
        <v>27</v>
      </c>
      <c r="F21" s="5" t="s">
        <v>96</v>
      </c>
      <c r="G21" s="10" cm="1" t="str">
        <f t="array" ref="G21">IF(F21="","",SUBSTITUTE(SUBSTITUTE(SUBSTITUTE(SUBSTITUTE(F21,"&lt;li&gt;",CHAR(10)),"&lt;/li&gt;",""),"&lt;br&gt;",CHAR(10)),"&lt;strong&gt;",""))</f>
        <v>&lt;p&gt;Contact établi avec Family Office, orientation vers Kelley pour évaluation Deeptech/climat. Demande d'envoi de deck/présentation des fonds en cours de levée pour revue préalable. RDV en cours de programmation, attente retour de leur part. Pas d'autres actions ou retours à ce stade.&lt;/p&gt;</v>
      </c>
      <c r="H21" s="10" cm="1" t="str">
        <f t="array" ref="H21">IF(G21="","",SUBSTITUTE(SUBSTITUTE(SUBSTITUTE(SUBSTITUTE(SUBSTITUTE(G21,"&lt;p&gt;",""),"&lt;/p&gt;",""),"&lt;ul&gt;",""),"&lt;/ul&gt;",""),"&lt;/strong&gt;",""))</f>
        <v>Contact établi avec Family Office, orientation vers Kelley pour évaluation Deeptech/climat. Demande d'envoi de deck/présentation des fonds en cours de levée pour revue préalable. RDV en cours de programmation, attente retour de leur part. Pas d'autres actions ou retours à ce stade.</v>
      </c>
      <c r="I21" s="11" cm="1" t="str">
        <f t="array" ref="I21">IF(C21="","",IF(OR(H21="",H21=0,H21=FALSE),"-",H21))</f>
        <v>Contact établi avec Family Office, orientation vers Kelley pour évaluation Deeptech/climat. Demande d'envoi de deck/présentation des fonds en cours de levée pour revue préalable. RDV en cours de programmation, attente retour de leur part. Pas d'autres actions ou retours à ce stade.</v>
      </c>
      <c r="J21" s="5">
</c>
      <c r="K21" s="6" t="s">
        <v>41</v>
      </c>
      <c r="L21" s="6" cm="1" t="str">
        <f t="array" ref="L21">IF(C21="","",IF(K21="Mort / Plus rien à faire","KO","OK"))</f>
        <v>OK</v>
      </c>
      <c r="M21" s="12">
        <v>46140.49358796296</v>
      </c>
      <c r="N21" s="12" cm="1" t="n">
        <f t="array" ref="N21">IF(OR(C21="",M21="",M21=0),"",M21)</f>
        <v>46140.49358796296</v>
      </c>
      <c r="O21" s="12">
</c>
      <c r="P21" s="12" cm="1" t="str">
        <f t="array" ref="P21">IF(C21="","",IF(OR(O21="",O21=0),"-",O21))</f>
        <v>-</v>
      </c>
      <c r="Q21" s="13">
        <v>0</v>
      </c>
      <c r="R21" s="9" cm="1" t="str">
        <f t="array" ref="R21">IF(C21="","",ROUND(Q21/1000000,3)&amp;" M€")</f>
        <v>0 M€</v>
      </c>
      <c r="S21" s="9" t="s">
        <v>42</v>
      </c>
      <c r="T21" s="9" cm="1" t="str">
        <f t="array" ref="T21">IF(C21="","",SUBSTITUTE(S21,"","")&amp;"%")</f>
        <v>10%</v>
      </c>
      <c r="U21" s="11" cm="1" t="str">
        <f t="array" ref="U21">IF(($N21="")*($P21=""),"",IF(($N21&lt;&gt;"")*($N21&gt;TODAY()-9)*($N21&lt;TODAY()+1)*($P21&lt;&gt;"")*($P21&gt;=TODAY())*($P21&lt;=TODAY()+13),"Semaine passée &amp; à venir",IF(($N21&lt;&gt;"")*($N21&gt;TODAY()-9)*($N21&lt;TODAY()+1),"Semaine passée",IF(($P21&lt;&gt;"")*($P21&gt;=TODAY())*($P21&lt;=TODAY()+13),"À venir","Autre"))))</f>
        <v>Semaine passée</v>
      </c>
      <c r="V21" s="5" cm="1" t="n">
        <f t="array" ref="V21">IF(C21&lt;&gt;"",1,0)</f>
        <v>1</v>
      </c>
      <c r="W21" s="5">
</c>
      <c r="X21" s="5">
</c>
      <c r="Y21" s="5">
</c>
      <c r="Z21" s="5">
</c>
      <c r="AA21" s="5">
</c>
      <c r="AB21" s="5">
</c>
      <c r="AC21" s="5">
</c>
      <c r="AD21" s="5">
</c>
      <c r="AE21" s="5">
</c>
      <c r="AF21" s="5">
</c>
      <c r="AG21" s="5">
</c>
      <c r="AH21" s="5">
</c>
      <c r="AI21" s="5">
</c>
      <c r="AJ21" s="5">
</c>
    </row>
    <row r="22" ht="81" customHeight="1">
      <c r="A22" s="6" t="s">
        <v>23</v>
      </c>
      <c r="B22" s="6" t="s">
        <v>24</v>
      </c>
      <c r="C22" s="9" t="s">
        <v>97</v>
      </c>
      <c r="D22" s="9" t="s">
        <v>98</v>
      </c>
      <c r="E22" s="6" t="s">
        <v>27</v>
      </c>
      <c r="F22" s="5" t="s">
        <v>99</v>
      </c>
      <c r="G22" s="10" cm="1" t="str">
        <f t="array" ref="G22">IF(F22="","",SUBSTITUTE(SUBSTITUTE(SUBSTITUTE(SUBSTITUTE(F22,"&lt;li&gt;",CHAR(10)),"&lt;/li&gt;",""),"&lt;br&gt;",CHAR(10)),"&lt;strong&gt;",""))</f>
        <v>&lt;p&gt;28/04/26 : nouvelle piste créée pour équipe Ventes. Mail envoyé pour organiser RDV avec Vincent et Giuseppe début mai, attente retour. RDV booké pour le 7 mai. Prochaine étape : tenir RDV le 7 mai, retour attendu du prospect sur proposition.&lt;/p&gt;</v>
      </c>
      <c r="H22" s="10" cm="1" t="str">
        <f t="array" ref="H22">IF(G22="","",SUBSTITUTE(SUBSTITUTE(SUBSTITUTE(SUBSTITUTE(SUBSTITUTE(G22,"&lt;p&gt;",""),"&lt;/p&gt;",""),"&lt;ul&gt;",""),"&lt;/ul&gt;",""),"&lt;/strong&gt;",""))</f>
        <v>28/04/26 : nouvelle piste créée pour équipe Ventes. Mail envoyé pour organiser RDV avec Vincent et Giuseppe début mai, attente retour. RDV booké pour le 7 mai. Prochaine étape : tenir RDV le 7 mai, retour attendu du prospect sur proposition.</v>
      </c>
      <c r="I22" s="11" cm="1" t="str">
        <f t="array" ref="I22">IF(C22="","",IF(OR(H22="",H22=0,H22=FALSE),"-",H22))</f>
        <v>28/04/26 : nouvelle piste créée pour équipe Ventes. Mail envoyé pour organiser RDV avec Vincent et Giuseppe début mai, attente retour. RDV booké pour le 7 mai. Prochaine étape : tenir RDV le 7 mai, retour attendu du prospect sur proposition.</v>
      </c>
      <c r="J22" s="5">
</c>
      <c r="K22" s="6" t="s">
        <v>41</v>
      </c>
      <c r="L22" s="6" cm="1" t="str">
        <f t="array" ref="L22">IF(C22="","",IF(K22="Mort / Plus rien à faire","KO","OK"))</f>
        <v>OK</v>
      </c>
      <c r="M22" s="12">
        <v>46140.691412037035</v>
      </c>
      <c r="N22" s="12" cm="1" t="n">
        <f t="array" ref="N22">IF(OR(C22="",M22="",M22=0),"",M22)</f>
        <v>46140.691412037035</v>
      </c>
      <c r="O22" s="12">
</c>
      <c r="P22" s="12" cm="1" t="str">
        <f t="array" ref="P22">IF(C22="","",IF(OR(O22="",O22=0),"-",O22))</f>
        <v>-</v>
      </c>
      <c r="Q22" s="13">
        <v>0</v>
      </c>
      <c r="R22" s="9" cm="1" t="str">
        <f t="array" ref="R22">IF(C22="","",ROUND(Q22/1000000,3)&amp;" M€")</f>
        <v>0 M€</v>
      </c>
      <c r="S22" s="9" t="s">
        <v>42</v>
      </c>
      <c r="T22" s="9" cm="1" t="str">
        <f t="array" ref="T22">IF(C22="","",SUBSTITUTE(S22,"","")&amp;"%")</f>
        <v>10%</v>
      </c>
      <c r="U22" s="11" cm="1" t="str">
        <f t="array" ref="U22">IF(($N22="")*($P22=""),"",IF(($N22&lt;&gt;"")*($N22&gt;TODAY()-9)*($N22&lt;TODAY()+1)*($P22&lt;&gt;"")*($P22&gt;=TODAY())*($P22&lt;=TODAY()+13),"Semaine passée &amp; à venir",IF(($N22&lt;&gt;"")*($N22&gt;TODAY()-9)*($N22&lt;TODAY()+1),"Semaine passée",IF(($P22&lt;&gt;"")*($P22&gt;=TODAY())*($P22&lt;=TODAY()+13),"À venir","Autre"))))</f>
        <v>Semaine passée</v>
      </c>
      <c r="V22" s="5" cm="1" t="n">
        <f t="array" ref="V22">IF(C22&lt;&gt;"",1,0)</f>
        <v>1</v>
      </c>
      <c r="W22" s="5">
</c>
      <c r="X22" s="5">
</c>
      <c r="Y22" s="5">
</c>
      <c r="Z22" s="5">
</c>
      <c r="AA22" s="5">
</c>
      <c r="AB22" s="5">
</c>
      <c r="AC22" s="5">
</c>
      <c r="AD22" s="5">
</c>
      <c r="AE22" s="5">
</c>
      <c r="AF22" s="5">
</c>
      <c r="AG22" s="5">
</c>
      <c r="AH22" s="5">
</c>
      <c r="AI22" s="5">
</c>
      <c r="AJ22" s="5">
</c>
    </row>
    <row r="23" ht="81" customHeight="1">
      <c r="A23" s="6" t="s">
        <v>23</v>
      </c>
      <c r="B23" s="6" t="s">
        <v>37</v>
      </c>
      <c r="C23" s="9" t="s">
        <v>100</v>
      </c>
      <c r="D23" s="9" t="s">
        <v>101</v>
      </c>
      <c r="E23" s="6" t="s">
        <v>34</v>
      </c>
      <c r="F23" s="5" t="s">
        <v>102</v>
      </c>
      <c r="G23" s="10" cm="1" t="str">
        <f t="array" ref="G23">IF(F23="","",SUBSTITUTE(SUBSTITUTE(SUBSTITUTE(SUBSTITUTE(F23,"&lt;li&gt;",CHAR(10)),"&lt;/li&gt;",""),"&lt;br&gt;",CHAR(10)),"&lt;strong&gt;",""))</f>
        <v>&lt;p&gt;Aucune activité ou échange significatif enregistré sur l'opportunité Mapfre. Aucun suivi, aucune interaction ni action récente. Infos prospect : Mapfre, grand groupe d'assurance international, présent dans 40+ pays, 30 000 employés, solutions assurance/réassurance/gestion d'actifs.&lt;/p&gt;</v>
      </c>
      <c r="H23" s="10" cm="1" t="str">
        <f t="array" ref="H23">IF(G23="","",SUBSTITUTE(SUBSTITUTE(SUBSTITUTE(SUBSTITUTE(SUBSTITUTE(G23,"&lt;p&gt;",""),"&lt;/p&gt;",""),"&lt;ul&gt;",""),"&lt;/ul&gt;",""),"&lt;/strong&gt;",""))</f>
        <v>Aucune activité ou échange significatif enregistré sur l'opportunité Mapfre. Aucun suivi, aucune interaction ni action récente. Infos prospect : Mapfre, grand groupe d'assurance international, présent dans 40+ pays, 30 000 employés, solutions assurance/réassurance/gestion d'actifs.</v>
      </c>
      <c r="I23" s="11" cm="1" t="str">
        <f t="array" ref="I23">IF(C23="","",IF(OR(H23="",H23=0,H23=FALSE),"-",H23))</f>
        <v>Aucune activité ou échange significatif enregistré sur l'opportunité Mapfre. Aucun suivi, aucune interaction ni action récente. Infos prospect : Mapfre, grand groupe d'assurance international, présent dans 40+ pays, 30 000 employés, solutions assurance/réassurance/gestion d'actifs.</v>
      </c>
      <c r="J23" s="5">
</c>
      <c r="K23" s="6" t="s">
        <v>41</v>
      </c>
      <c r="L23" s="6" cm="1" t="str">
        <f t="array" ref="L23">IF(C23="","",IF(K23="Mort / Plus rien à faire","KO","OK"))</f>
        <v>OK</v>
      </c>
      <c r="M23" s="12">
        <v>46013.68800925926</v>
      </c>
      <c r="N23" s="12" cm="1" t="n">
        <f t="array" ref="N23">IF(OR(C23="",M23="",M23=0),"",M23)</f>
        <v>46013.68800925926</v>
      </c>
      <c r="O23" s="12">
</c>
      <c r="P23" s="12" cm="1" t="str">
        <f t="array" ref="P23">IF(C23="","",IF(OR(O23="",O23=0),"-",O23))</f>
        <v>-</v>
      </c>
      <c r="Q23" s="13">
        <v>0</v>
      </c>
      <c r="R23" s="9" cm="1" t="str">
        <f t="array" ref="R23">IF(C23="","",ROUND(Q23/1000000,3)&amp;" M€")</f>
        <v>0 M€</v>
      </c>
      <c r="S23" s="9" t="s">
        <v>42</v>
      </c>
      <c r="T23" s="9" cm="1" t="str">
        <f t="array" ref="T23">IF(C23="","",SUBSTITUTE(S23,"","")&amp;"%")</f>
        <v>10%</v>
      </c>
      <c r="U23" s="11" cm="1" t="str">
        <f t="array" ref="U23">IF(($N23="")*($P23=""),"",IF(($N23&lt;&gt;"")*($N23&gt;TODAY()-9)*($N23&lt;TODAY()+1)*($P23&lt;&gt;"")*($P23&gt;=TODAY())*($P23&lt;=TODAY()+13),"Semaine passée &amp; à venir",IF(($N23&lt;&gt;"")*($N23&gt;TODAY()-9)*($N23&lt;TODAY()+1),"Semaine passée",IF(($P23&lt;&gt;"")*($P23&gt;=TODAY())*($P23&lt;=TODAY()+13),"À venir","Autre"))))</f>
        <v>Autre</v>
      </c>
      <c r="V23" s="5" cm="1" t="n">
        <f t="array" ref="V23">IF(C23&lt;&gt;"",1,0)</f>
        <v>1</v>
      </c>
      <c r="W23" s="5">
</c>
      <c r="X23" s="5">
</c>
      <c r="Y23" s="5">
</c>
      <c r="Z23" s="5">
</c>
      <c r="AA23" s="5">
</c>
      <c r="AB23" s="5">
</c>
      <c r="AC23" s="5">
</c>
      <c r="AD23" s="5">
</c>
      <c r="AE23" s="5">
</c>
      <c r="AF23" s="5">
</c>
      <c r="AG23" s="5">
</c>
      <c r="AH23" s="5">
</c>
      <c r="AI23" s="5">
</c>
      <c r="AJ23" s="5">
</c>
    </row>
    <row r="24" ht="81" customHeight="1">
      <c r="A24" s="6" t="s">
        <v>23</v>
      </c>
      <c r="B24" s="6" t="s">
        <v>37</v>
      </c>
      <c r="C24" s="9" t="s">
        <v>103</v>
      </c>
      <c r="D24" s="9" t="s">
        <v>104</v>
      </c>
      <c r="E24" s="6" t="s">
        <v>34</v>
      </c>
      <c r="F24" s="5" t="s">
        <v>105</v>
      </c>
      <c r="G24" s="10" cm="1" t="str">
        <f t="array" ref="G24">IF(F24="","",SUBSTITUTE(SUBSTITUTE(SUBSTITUTE(SUBSTITUTE(F24,"&lt;li&gt;",CHAR(10)),"&lt;/li&gt;",""),"&lt;br&gt;",CHAR(10)),"&lt;strong&gt;",""))</f>
        <v>&lt;p&gt;15/10/2025 : BPCE Ass (via Flexstone) refuse offre, trop tôt pour eux, cherchent early growth (mandat TIBI inclus). Opportunités Tech Buy Out évoquées, ticket cible 8M€. Petit-déj Corinne Cipière/BPCE. Enrichissement lead impossible (email invalide). Pas d'action future planifiée.&lt;/p&gt;</v>
      </c>
      <c r="H24" s="10" cm="1" t="str">
        <f t="array" ref="H24">IF(G24="","",SUBSTITUTE(SUBSTITUTE(SUBSTITUTE(SUBSTITUTE(SUBSTITUTE(G24,"&lt;p&gt;",""),"&lt;/p&gt;",""),"&lt;ul&gt;",""),"&lt;/ul&gt;",""),"&lt;/strong&gt;",""))</f>
        <v>15/10/2025 : BPCE Ass (via Flexstone) refuse offre, trop tôt pour eux, cherchent early growth (mandat TIBI inclus). Opportunités Tech Buy Out évoquées, ticket cible 8M€. Petit-déj Corinne Cipière/BPCE. Enrichissement lead impossible (email invalide). Pas d'action future planifiée.</v>
      </c>
      <c r="I24" s="11" cm="1" t="str">
        <f t="array" ref="I24">IF(C24="","",IF(OR(H24="",H24=0,H24=FALSE),"-",H24))</f>
        <v>15/10/2025 : BPCE Ass (via Flexstone) refuse offre, trop tôt pour eux, cherchent early growth (mandat TIBI inclus). Opportunités Tech Buy Out évoquées, ticket cible 8M€. Petit-déj Corinne Cipière/BPCE. Enrichissement lead impossible (email invalide). Pas d'action future planifiée.</v>
      </c>
      <c r="J24" s="5">
</c>
      <c r="K24" s="6" t="s">
        <v>29</v>
      </c>
      <c r="L24" s="6" cm="1" t="str">
        <f t="array" ref="L24">IF(C24="","",IF(K24="Mort / Plus rien à faire","KO","OK"))</f>
        <v>OK</v>
      </c>
      <c r="M24" s="12">
        <v>46092.79283564815</v>
      </c>
      <c r="N24" s="12" cm="1" t="n">
        <f t="array" ref="N24">IF(OR(C24="",M24="",M24=0),"",M24)</f>
        <v>46092.79283564815</v>
      </c>
      <c r="O24" s="12">
</c>
      <c r="P24" s="12" cm="1" t="str">
        <f t="array" ref="P24">IF(C24="","",IF(OR(O24="",O24=0),"-",O24))</f>
        <v>-</v>
      </c>
      <c r="Q24" s="13">
        <v>0</v>
      </c>
      <c r="R24" s="9" cm="1" t="str">
        <f t="array" ref="R24">IF(C24="","",ROUND(Q24/1000000,3)&amp;" M€")</f>
        <v>0 M€</v>
      </c>
      <c r="S24" s="9" t="s">
        <v>42</v>
      </c>
      <c r="T24" s="9" cm="1" t="str">
        <f t="array" ref="T24">IF(C24="","",SUBSTITUTE(S24,"","")&amp;"%")</f>
        <v>10%</v>
      </c>
      <c r="U24" s="11" cm="1" t="str">
        <f t="array" ref="U24">IF(($N24="")*($P24=""),"",IF(($N24&lt;&gt;"")*($N24&gt;TODAY()-9)*($N24&lt;TODAY()+1)*($P24&lt;&gt;"")*($P24&gt;=TODAY())*($P24&lt;=TODAY()+13),"Semaine passée &amp; à venir",IF(($N24&lt;&gt;"")*($N24&gt;TODAY()-9)*($N24&lt;TODAY()+1),"Semaine passée",IF(($P24&lt;&gt;"")*($P24&gt;=TODAY())*($P24&lt;=TODAY()+13),"À venir","Autre"))))</f>
        <v>Autre</v>
      </c>
      <c r="V24" s="5" cm="1" t="n">
        <f t="array" ref="V24">IF(C24&lt;&gt;"",1,0)</f>
        <v>1</v>
      </c>
      <c r="W24" s="5">
</c>
      <c r="X24" s="5">
</c>
      <c r="Y24" s="5">
</c>
      <c r="Z24" s="5">
</c>
      <c r="AA24" s="5">
</c>
      <c r="AB24" s="5">
</c>
      <c r="AC24" s="5">
</c>
      <c r="AD24" s="5">
</c>
      <c r="AE24" s="5">
</c>
      <c r="AF24" s="5">
</c>
      <c r="AG24" s="5">
</c>
      <c r="AH24" s="5">
</c>
      <c r="AI24" s="5">
</c>
      <c r="AJ24" s="5">
</c>
    </row>
    <row r="25" ht="81" customHeight="1">
      <c r="A25" s="6" t="s">
        <v>23</v>
      </c>
      <c r="B25" s="6" t="s">
        <v>106</v>
      </c>
      <c r="C25" s="9" t="s">
        <v>107</v>
      </c>
      <c r="D25" s="9" t="s">
        <v>108</v>
      </c>
      <c r="E25" s="6" t="s">
        <v>34</v>
      </c>
      <c r="F25" s="5" t="s">
        <v>109</v>
      </c>
      <c r="G25" s="10" cm="1" t="str">
        <f t="array" ref="G25">IF(F25="","",SUBSTITUTE(SUBSTITUTE(SUBSTITUTE(SUBSTITUTE(F25,"&lt;li&gt;",CHAR(10)),"&lt;/li&gt;",""),"&lt;br&gt;",CHAR(10)),"&lt;strong&gt;",""))</f>
        <v>&lt;p&gt;RDV 10/04 : Présentation VC Energie, supports envoyés sur Exergon (nucléaire/stockage), Calderion (hydrogène/fuels), Quantonation (fonds 2 clôturé). Mise en relation avec Christian Contzen. Charles intéressé pour recevoir Energy Tech Circle dans ses locaux. Prochaine étape à définir avant 17/04.&lt;/p&gt;</v>
      </c>
      <c r="H25" s="10" cm="1" t="str">
        <f t="array" ref="H25">IF(G25="","",SUBSTITUTE(SUBSTITUTE(SUBSTITUTE(SUBSTITUTE(SUBSTITUTE(G25,"&lt;p&gt;",""),"&lt;/p&gt;",""),"&lt;ul&gt;",""),"&lt;/ul&gt;",""),"&lt;/strong&gt;",""))</f>
        <v>RDV 10/04 : Présentation VC Energie, supports envoyés sur Exergon (nucléaire/stockage), Calderion (hydrogène/fuels), Quantonation (fonds 2 clôturé). Mise en relation avec Christian Contzen. Charles intéressé pour recevoir Energy Tech Circle dans ses locaux. Prochaine étape à définir avant 17/04.</v>
      </c>
      <c r="I25" s="11" cm="1" t="str">
        <f t="array" ref="I25">IF(C25="","",IF(OR(H25="",H25=0,H25=FALSE),"-",H25))</f>
        <v>RDV 10/04 : Présentation VC Energie, supports envoyés sur Exergon (nucléaire/stockage), Calderion (hydrogène/fuels), Quantonation (fonds 2 clôturé). Mise en relation avec Christian Contzen. Charles intéressé pour recevoir Energy Tech Circle dans ses locaux. Prochaine étape à définir avant 17/04.</v>
      </c>
      <c r="J25" s="5" t="s">
        <v>110</v>
      </c>
      <c r="K25" s="6" t="s">
        <v>41</v>
      </c>
      <c r="L25" s="6" cm="1" t="str">
        <f t="array" ref="L25">IF(C25="","",IF(K25="Mort / Plus rien à faire","KO","OK"))</f>
        <v>OK</v>
      </c>
      <c r="M25" s="12">
        <v>46122.62465277778</v>
      </c>
      <c r="N25" s="12" cm="1" t="n">
        <f t="array" ref="N25">IF(OR(C25="",M25="",M25=0),"",M25)</f>
        <v>46122.62465277778</v>
      </c>
      <c r="O25" s="12">
</c>
      <c r="P25" s="12" cm="1" t="str">
        <f t="array" ref="P25">IF(C25="","",IF(OR(O25="",O25=0),"-",O25))</f>
        <v>-</v>
      </c>
      <c r="Q25" s="13">
        <v>0</v>
      </c>
      <c r="R25" s="9" cm="1" t="str">
        <f t="array" ref="R25">IF(C25="","",ROUND(Q25/1000000,3)&amp;" M€")</f>
        <v>0 M€</v>
      </c>
      <c r="S25" s="9" t="s">
        <v>42</v>
      </c>
      <c r="T25" s="9" cm="1" t="str">
        <f t="array" ref="T25">IF(C25="","",SUBSTITUTE(S25,"","")&amp;"%")</f>
        <v>10%</v>
      </c>
      <c r="U25" s="11" cm="1" t="str">
        <f t="array" ref="U25">IF(($N25="")*($P25=""),"",IF(($N25&lt;&gt;"")*($N25&gt;TODAY()-9)*($N25&lt;TODAY()+1)*($P25&lt;&gt;"")*($P25&gt;=TODAY())*($P25&lt;=TODAY()+13),"Semaine passée &amp; à venir",IF(($N25&lt;&gt;"")*($N25&gt;TODAY()-9)*($N25&lt;TODAY()+1),"Semaine passée",IF(($P25&lt;&gt;"")*($P25&gt;=TODAY())*($P25&lt;=TODAY()+13),"À venir","Autre"))))</f>
        <v>Autre</v>
      </c>
      <c r="V25" s="5" cm="1" t="n">
        <f t="array" ref="V25">IF(C25&lt;&gt;"",1,0)</f>
        <v>1</v>
      </c>
      <c r="W25" s="5">
</c>
      <c r="X25" s="5">
</c>
      <c r="Y25" s="5">
</c>
      <c r="Z25" s="5">
</c>
      <c r="AA25" s="5">
</c>
      <c r="AB25" s="5">
</c>
      <c r="AC25" s="5">
</c>
      <c r="AD25" s="5">
</c>
      <c r="AE25" s="5">
</c>
      <c r="AF25" s="5">
</c>
      <c r="AG25" s="5">
</c>
      <c r="AH25" s="5">
</c>
      <c r="AI25" s="5">
</c>
      <c r="AJ25" s="5">
</c>
    </row>
    <row r="26" ht="81" customHeight="1">
      <c r="A26" s="6" t="s">
        <v>23</v>
      </c>
      <c r="B26" s="6" t="s">
        <v>43</v>
      </c>
      <c r="C26" s="9" t="s">
        <v>111</v>
      </c>
      <c r="D26" s="9" t="s">
        <v>112</v>
      </c>
      <c r="E26" s="6" t="s">
        <v>34</v>
      </c>
      <c r="F26" s="5" t="s">
        <v>113</v>
      </c>
      <c r="G26" s="10" cm="1" t="str">
        <f t="array" ref="G26">IF(F26="","",SUBSTITUTE(SUBSTITUTE(SUBSTITUTE(SUBSTITUTE(F26,"&lt;li&gt;",CHAR(10)),"&lt;/li&gt;",""),"&lt;br&gt;",CHAR(10)),"&lt;strong&gt;",""))</f>
        <v>&lt;p&gt;Aucune activité menée sur le prospect. Un nouvelle piste a été créée pour l'équipe "Ventes". Aucun échange, action ou retour prospect enregistré à ce jour. Pas de prochaines étapes identifiées ni de suivi documenté dans les messages ou activités.&lt;/p&gt;</v>
      </c>
      <c r="H26" s="10" cm="1" t="str">
        <f t="array" ref="H26">IF(G26="","",SUBSTITUTE(SUBSTITUTE(SUBSTITUTE(SUBSTITUTE(SUBSTITUTE(G26,"&lt;p&gt;",""),"&lt;/p&gt;",""),"&lt;ul&gt;",""),"&lt;/ul&gt;",""),"&lt;/strong&gt;",""))</f>
        <v>Aucune activité menée sur le prospect. Un nouvelle piste a été créée pour l'équipe "Ventes". Aucun échange, action ou retour prospect enregistré à ce jour. Pas de prochaines étapes identifiées ni de suivi documenté dans les messages ou activités.</v>
      </c>
      <c r="I26" s="11" cm="1" t="str">
        <f t="array" ref="I26">IF(C26="","",IF(OR(H26="",H26=0,H26=FALSE),"-",H26))</f>
        <v>Aucune activité menée sur le prospect. Un nouvelle piste a été créée pour l'équipe "Ventes". Aucun échange, action ou retour prospect enregistré à ce jour. Pas de prochaines étapes identifiées ni de suivi documenté dans les messages ou activités.</v>
      </c>
      <c r="J26" s="5">
</c>
      <c r="K26" s="6" t="s">
        <v>41</v>
      </c>
      <c r="L26" s="6" cm="1" t="str">
        <f t="array" ref="L26">IF(C26="","",IF(K26="Mort / Plus rien à faire","KO","OK"))</f>
        <v>OK</v>
      </c>
      <c r="M26" s="12">
        <v>46114.72243055556</v>
      </c>
      <c r="N26" s="12" cm="1" t="n">
        <f t="array" ref="N26">IF(OR(C26="",M26="",M26=0),"",M26)</f>
        <v>46114.72243055556</v>
      </c>
      <c r="O26" s="12">
</c>
      <c r="P26" s="12" cm="1" t="str">
        <f t="array" ref="P26">IF(C26="","",IF(OR(O26="",O26=0),"-",O26))</f>
        <v>-</v>
      </c>
      <c r="Q26" s="13">
        <v>0</v>
      </c>
      <c r="R26" s="9" cm="1" t="str">
        <f t="array" ref="R26">IF(C26="","",ROUND(Q26/1000000,3)&amp;" M€")</f>
        <v>0 M€</v>
      </c>
      <c r="S26" s="9" t="s">
        <v>42</v>
      </c>
      <c r="T26" s="9" cm="1" t="str">
        <f t="array" ref="T26">IF(C26="","",SUBSTITUTE(S26,"","")&amp;"%")</f>
        <v>10%</v>
      </c>
      <c r="U26" s="11" cm="1" t="str">
        <f t="array" ref="U26">IF(($N26="")*($P26=""),"",IF(($N26&lt;&gt;"")*($N26&gt;TODAY()-9)*($N26&lt;TODAY()+1)*($P26&lt;&gt;"")*($P26&gt;=TODAY())*($P26&lt;=TODAY()+13),"Semaine passée &amp; à venir",IF(($N26&lt;&gt;"")*($N26&gt;TODAY()-9)*($N26&lt;TODAY()+1),"Semaine passée",IF(($P26&lt;&gt;"")*($P26&gt;=TODAY())*($P26&lt;=TODAY()+13),"À venir","Autre"))))</f>
        <v>Autre</v>
      </c>
      <c r="V26" s="5" cm="1" t="n">
        <f t="array" ref="V26">IF(C26&lt;&gt;"",1,0)</f>
        <v>1</v>
      </c>
      <c r="W26" s="5">
</c>
      <c r="X26" s="5">
</c>
      <c r="Y26" s="5">
</c>
      <c r="Z26" s="5">
</c>
      <c r="AA26" s="5">
</c>
      <c r="AB26" s="5">
</c>
      <c r="AC26" s="5">
</c>
      <c r="AD26" s="5">
</c>
      <c r="AE26" s="5">
</c>
      <c r="AF26" s="5">
</c>
      <c r="AG26" s="5">
</c>
      <c r="AH26" s="5">
</c>
      <c r="AI26" s="5">
</c>
      <c r="AJ26" s="5">
</c>
    </row>
    <row r="27" ht="81" customHeight="1">
      <c r="A27" s="6" t="s">
        <v>23</v>
      </c>
      <c r="B27" s="6" t="s">
        <v>58</v>
      </c>
      <c r="C27" s="9" t="s">
        <v>114</v>
      </c>
      <c r="D27" s="9" t="s">
        <v>115</v>
      </c>
      <c r="E27" s="6" t="s">
        <v>34</v>
      </c>
      <c r="F27" s="5" t="s">
        <v>116</v>
      </c>
      <c r="G27" s="10" cm="1" t="str">
        <f t="array" ref="G27">IF(F27="","",SUBSTITUTE(SUBSTITUTE(SUBSTITUTE(SUBSTITUTE(F27,"&lt;li&gt;",CHAR(10)),"&lt;/li&gt;",""),"&lt;br&gt;",CHAR(10)),"&lt;strong&gt;",""))</f>
        <v>&lt;p&gt;Mail Otrera posté à CEN, attente retour Christine Dropsy. Focus sur le nucléaire normand via start-up, 5M€ levés, objectif 15M€ avant fonds institutionnel 200M€. Echange 30/03 avec Adrien Vallet, ok rdv mandataire sous un mois. Intérêt Straton/Exergon. Décision fonds sous un mois.&lt;/p&gt;</v>
      </c>
      <c r="H27" s="10" cm="1" t="str">
        <f t="array" ref="H27">IF(G27="","",SUBSTITUTE(SUBSTITUTE(SUBSTITUTE(SUBSTITUTE(SUBSTITUTE(G27,"&lt;p&gt;",""),"&lt;/p&gt;",""),"&lt;ul&gt;",""),"&lt;/ul&gt;",""),"&lt;/strong&gt;",""))</f>
        <v>Mail Otrera posté à CEN, attente retour Christine Dropsy. Focus sur le nucléaire normand via start-up, 5M€ levés, objectif 15M€ avant fonds institutionnel 200M€. Echange 30/03 avec Adrien Vallet, ok rdv mandataire sous un mois. Intérêt Straton/Exergon. Décision fonds sous un mois.</v>
      </c>
      <c r="I27" s="11" cm="1" t="str">
        <f t="array" ref="I27">IF(C27="","",IF(OR(H27="",H27=0,H27=FALSE),"-",H27))</f>
        <v>Mail Otrera posté à CEN, attente retour Christine Dropsy. Focus sur le nucléaire normand via start-up, 5M€ levés, objectif 15M€ avant fonds institutionnel 200M€. Echange 30/03 avec Adrien Vallet, ok rdv mandataire sous un mois. Intérêt Straton/Exergon. Décision fonds sous un mois.</v>
      </c>
      <c r="J27" s="5" t="s">
        <v>117</v>
      </c>
      <c r="K27" s="6" t="s">
        <v>41</v>
      </c>
      <c r="L27" s="6" cm="1" t="str">
        <f t="array" ref="L27">IF(C27="","",IF(K27="Mort / Plus rien à faire","KO","OK"))</f>
        <v>OK</v>
      </c>
      <c r="M27" s="12">
        <v>46140.833599537036</v>
      </c>
      <c r="N27" s="12" cm="1" t="n">
        <f t="array" ref="N27">IF(OR(C27="",M27="",M27=0),"",M27)</f>
        <v>46140.833599537036</v>
      </c>
      <c r="O27" s="12">
</c>
      <c r="P27" s="12" cm="1" t="str">
        <f t="array" ref="P27">IF(C27="","",IF(OR(O27="",O27=0),"-",O27))</f>
        <v>-</v>
      </c>
      <c r="Q27" s="13">
        <v>0</v>
      </c>
      <c r="R27" s="9" cm="1" t="str">
        <f t="array" ref="R27">IF(C27="","",ROUND(Q27/1000000,3)&amp;" M€")</f>
        <v>0 M€</v>
      </c>
      <c r="S27" s="9" t="s">
        <v>42</v>
      </c>
      <c r="T27" s="9" cm="1" t="str">
        <f t="array" ref="T27">IF(C27="","",SUBSTITUTE(S27,"","")&amp;"%")</f>
        <v>10%</v>
      </c>
      <c r="U27" s="11" cm="1" t="str">
        <f t="array" ref="U27">IF(($N27="")*($P27=""),"",IF(($N27&lt;&gt;"")*($N27&gt;TODAY()-9)*($N27&lt;TODAY()+1)*($P27&lt;&gt;"")*($P27&gt;=TODAY())*($P27&lt;=TODAY()+13),"Semaine passée &amp; à venir",IF(($N27&lt;&gt;"")*($N27&gt;TODAY()-9)*($N27&lt;TODAY()+1),"Semaine passée",IF(($P27&lt;&gt;"")*($P27&gt;=TODAY())*($P27&lt;=TODAY()+13),"À venir","Autre"))))</f>
        <v>Semaine passée</v>
      </c>
      <c r="V27" s="5" cm="1" t="n">
        <f t="array" ref="V27">IF(C27&lt;&gt;"",1,0)</f>
        <v>1</v>
      </c>
      <c r="W27" s="5">
</c>
      <c r="X27" s="5">
</c>
      <c r="Y27" s="5">
</c>
      <c r="Z27" s="5">
</c>
      <c r="AA27" s="5">
</c>
      <c r="AB27" s="5">
</c>
      <c r="AC27" s="5">
</c>
      <c r="AD27" s="5">
</c>
      <c r="AE27" s="5">
</c>
      <c r="AF27" s="5">
</c>
      <c r="AG27" s="5">
</c>
      <c r="AH27" s="5">
</c>
      <c r="AI27" s="5">
</c>
      <c r="AJ27" s="5">
</c>
    </row>
    <row r="28" ht="81" customHeight="1">
      <c r="A28" s="6" t="s">
        <v>23</v>
      </c>
      <c r="B28" s="6" t="s">
        <v>58</v>
      </c>
      <c r="C28" s="9" t="s">
        <v>118</v>
      </c>
      <c r="D28" s="9" t="s">
        <v>119</v>
      </c>
      <c r="E28" s="6" t="s">
        <v>34</v>
      </c>
      <c r="F28" s="5" t="s">
        <v>120</v>
      </c>
      <c r="G28" s="10" cm="1" t="str">
        <f t="array" ref="G28">IF(F28="","",SUBSTITUTE(SUBSTITUTE(SUBSTITUTE(SUBSTITUTE(F28,"&lt;li&gt;",CHAR(10)),"&lt;/li&gt;",""),"&lt;br&gt;",CHAR(10)),"&lt;strong&gt;",""))</f>
        <v>&lt;p&gt;Nouvelle piste créée pour équipe Ventes. Aucun échange, activité ou retour prospect enregistré à ce jour. Pas d'action menée ni de prochaine étape planifiée. Aucun avis ou conclusion prospect sur les fonds présentés. Suivi inexistant à ce stade.&lt;/p&gt;</v>
      </c>
      <c r="H28" s="10" cm="1" t="str">
        <f t="array" ref="H28">IF(G28="","",SUBSTITUTE(SUBSTITUTE(SUBSTITUTE(SUBSTITUTE(SUBSTITUTE(G28,"&lt;p&gt;",""),"&lt;/p&gt;",""),"&lt;ul&gt;",""),"&lt;/ul&gt;",""),"&lt;/strong&gt;",""))</f>
        <v>Nouvelle piste créée pour équipe Ventes. Aucun échange, activité ou retour prospect enregistré à ce jour. Pas d'action menée ni de prochaine étape planifiée. Aucun avis ou conclusion prospect sur les fonds présentés. Suivi inexistant à ce stade.</v>
      </c>
      <c r="I28" s="11" cm="1" t="str">
        <f t="array" ref="I28">IF(C28="","",IF(OR(H28="",H28=0,H28=FALSE),"-",H28))</f>
        <v>Nouvelle piste créée pour équipe Ventes. Aucun échange, activité ou retour prospect enregistré à ce jour. Pas d'action menée ni de prochaine étape planifiée. Aucun avis ou conclusion prospect sur les fonds présentés. Suivi inexistant à ce stade.</v>
      </c>
      <c r="J28" s="5" t="s">
        <v>121</v>
      </c>
      <c r="K28" s="6" t="s">
        <v>41</v>
      </c>
      <c r="L28" s="6" cm="1" t="str">
        <f t="array" ref="L28">IF(C28="","",IF(K28="Mort / Plus rien à faire","KO","OK"))</f>
        <v>OK</v>
      </c>
      <c r="M28" s="12">
        <v>46115.46528935185</v>
      </c>
      <c r="N28" s="12" cm="1" t="n">
        <f t="array" ref="N28">IF(OR(C28="",M28="",M28=0),"",M28)</f>
        <v>46115.46528935185</v>
      </c>
      <c r="O28" s="12">
</c>
      <c r="P28" s="12" cm="1" t="str">
        <f t="array" ref="P28">IF(C28="","",IF(OR(O28="",O28=0),"-",O28))</f>
        <v>-</v>
      </c>
      <c r="Q28" s="13">
        <v>0</v>
      </c>
      <c r="R28" s="9" cm="1" t="str">
        <f t="array" ref="R28">IF(C28="","",ROUND(Q28/1000000,3)&amp;" M€")</f>
        <v>0 M€</v>
      </c>
      <c r="S28" s="9" t="s">
        <v>42</v>
      </c>
      <c r="T28" s="9" cm="1" t="str">
        <f t="array" ref="T28">IF(C28="","",SUBSTITUTE(S28,"","")&amp;"%")</f>
        <v>10%</v>
      </c>
      <c r="U28" s="11" cm="1" t="str">
        <f t="array" ref="U28">IF(($N28="")*($P28=""),"",IF(($N28&lt;&gt;"")*($N28&gt;TODAY()-9)*($N28&lt;TODAY()+1)*($P28&lt;&gt;"")*($P28&gt;=TODAY())*($P28&lt;=TODAY()+13),"Semaine passée &amp; à venir",IF(($N28&lt;&gt;"")*($N28&gt;TODAY()-9)*($N28&lt;TODAY()+1),"Semaine passée",IF(($P28&lt;&gt;"")*($P28&gt;=TODAY())*($P28&lt;=TODAY()+13),"À venir","Autre"))))</f>
        <v>Autre</v>
      </c>
      <c r="V28" s="5" cm="1" t="n">
        <f t="array" ref="V28">IF(C28&lt;&gt;"",1,0)</f>
        <v>1</v>
      </c>
      <c r="W28" s="5">
</c>
      <c r="X28" s="5">
</c>
      <c r="Y28" s="5">
</c>
      <c r="Z28" s="5">
</c>
      <c r="AA28" s="5">
</c>
      <c r="AB28" s="5">
</c>
      <c r="AC28" s="5">
</c>
      <c r="AD28" s="5">
</c>
      <c r="AE28" s="5">
</c>
      <c r="AF28" s="5">
</c>
      <c r="AG28" s="5">
</c>
      <c r="AH28" s="5">
</c>
      <c r="AI28" s="5">
</c>
      <c r="AJ28" s="5">
</c>
    </row>
    <row r="29" ht="81" customHeight="1">
      <c r="A29" s="6" t="s">
        <v>23</v>
      </c>
      <c r="B29" s="6" t="s">
        <v>24</v>
      </c>
      <c r="C29" s="9" t="s">
        <v>122</v>
      </c>
      <c r="D29" s="9" t="s">
        <v>123</v>
      </c>
      <c r="E29" s="6" t="s">
        <v>27</v>
      </c>
      <c r="F29" s="5" t="s">
        <v>124</v>
      </c>
      <c r="G29" s="10" cm="1" t="str">
        <f t="array" ref="G29">IF(F29="","",SUBSTITUTE(SUBSTITUTE(SUBSTITUTE(SUBSTITUTE(F29,"&lt;li&gt;",CHAR(10)),"&lt;/li&gt;",""),"&lt;br&gt;",CHAR(10)),"&lt;strong&gt;",""))</f>
        <v>&lt;p&gt;Premier contact prospect intéressé, puis absence de réponse, relance prévue. RDV physique réalisé pour fonds XXXX, échanges tenus, prochaines étapes définies. Plusieurs mails envoyés. RDV programmé le 28/04/2026. Suivi actif, attente retour prospect sur fonds présentés, relances à poursuivre.&lt;/p&gt;</v>
      </c>
      <c r="H29" s="10" cm="1" t="str">
        <f t="array" ref="H29">IF(G29="","",SUBSTITUTE(SUBSTITUTE(SUBSTITUTE(SUBSTITUTE(SUBSTITUTE(G29,"&lt;p&gt;",""),"&lt;/p&gt;",""),"&lt;ul&gt;",""),"&lt;/ul&gt;",""),"&lt;/strong&gt;",""))</f>
        <v>Premier contact prospect intéressé, puis absence de réponse, relance prévue. RDV physique réalisé pour fonds XXXX, échanges tenus, prochaines étapes définies. Plusieurs mails envoyés. RDV programmé le 28/04/2026. Suivi actif, attente retour prospect sur fonds présentés, relances à poursuivre.</v>
      </c>
      <c r="I29" s="11" cm="1" t="str">
        <f t="array" ref="I29">IF(C29="","",IF(OR(H29="",H29=0,H29=FALSE),"-",H29))</f>
        <v>Premier contact prospect intéressé, puis absence de réponse, relance prévue. RDV physique réalisé pour fonds XXXX, échanges tenus, prochaines étapes définies. Plusieurs mails envoyés. RDV programmé le 28/04/2026. Suivi actif, attente retour prospect sur fonds présentés, relances à poursuivre.</v>
      </c>
      <c r="J29" s="5">
</c>
      <c r="K29" s="6" t="s">
        <v>29</v>
      </c>
      <c r="L29" s="6" cm="1" t="str">
        <f t="array" ref="L29">IF(C29="","",IF(K29="Mort / Plus rien à faire","KO","OK"))</f>
        <v>OK</v>
      </c>
      <c r="M29" s="12">
        <v>46129.649733796294</v>
      </c>
      <c r="N29" s="12" cm="1" t="n">
        <f t="array" ref="N29">IF(OR(C29="",M29="",M29=0),"",M29)</f>
        <v>46129.649733796294</v>
      </c>
      <c r="O29" s="12">
</c>
      <c r="P29" s="12" cm="1" t="str">
        <f t="array" ref="P29">IF(C29="","",IF(OR(O29="",O29=0),"-",O29))</f>
        <v>-</v>
      </c>
      <c r="Q29" s="13">
        <v>0</v>
      </c>
      <c r="R29" s="9" cm="1" t="str">
        <f t="array" ref="R29">IF(C29="","",ROUND(Q29/1000000,3)&amp;" M€")</f>
        <v>0 M€</v>
      </c>
      <c r="S29" s="9" t="s">
        <v>42</v>
      </c>
      <c r="T29" s="9" cm="1" t="str">
        <f t="array" ref="T29">IF(C29="","",SUBSTITUTE(S29,"","")&amp;"%")</f>
        <v>10%</v>
      </c>
      <c r="U29" s="11" cm="1" t="str">
        <f t="array" ref="U29">IF(($N29="")*($P29=""),"",IF(($N29&lt;&gt;"")*($N29&gt;TODAY()-9)*($N29&lt;TODAY()+1)*($P29&lt;&gt;"")*($P29&gt;=TODAY())*($P29&lt;=TODAY()+13),"Semaine passée &amp; à venir",IF(($N29&lt;&gt;"")*($N29&gt;TODAY()-9)*($N29&lt;TODAY()+1),"Semaine passée",IF(($P29&lt;&gt;"")*($P29&gt;=TODAY())*($P29&lt;=TODAY()+13),"À venir","Autre"))))</f>
        <v>Autre</v>
      </c>
      <c r="V29" s="5" cm="1" t="n">
        <f t="array" ref="V29">IF(C29&lt;&gt;"",1,0)</f>
        <v>1</v>
      </c>
      <c r="W29" s="5">
</c>
      <c r="X29" s="5">
</c>
      <c r="Y29" s="5">
</c>
      <c r="Z29" s="5">
</c>
      <c r="AA29" s="5">
</c>
      <c r="AB29" s="5">
</c>
      <c r="AC29" s="5">
</c>
      <c r="AD29" s="5">
</c>
      <c r="AE29" s="5">
</c>
      <c r="AF29" s="5">
</c>
      <c r="AG29" s="5">
</c>
      <c r="AH29" s="5">
</c>
      <c r="AI29" s="5">
</c>
      <c r="AJ29" s="5">
</c>
    </row>
    <row r="30" ht="81" customHeight="1">
      <c r="A30" s="6" t="s">
        <v>23</v>
      </c>
      <c r="B30" s="6" t="s">
        <v>24</v>
      </c>
      <c r="C30" s="9" t="s">
        <v>125</v>
      </c>
      <c r="D30" s="9" t="s">
        <v>126</v>
      </c>
      <c r="E30" s="6" t="s">
        <v>27</v>
      </c>
      <c r="F30" s="5" t="s">
        <v>127</v>
      </c>
      <c r="G30" s="10" cm="1" t="str">
        <f t="array" ref="G30">IF(F30="","",SUBSTITUTE(SUBSTITUTE(SUBSTITUTE(SUBSTITUTE(F30,"&lt;li&gt;",CHAR(10)),"&lt;/li&gt;",""),"&lt;br&gt;",CHAR(10)),"&lt;strong&gt;",""))</f>
        <v>&lt;p&gt;14/04: call, envoi decks. Nouvelle équipe, vente 2/3 portefeuille (RE, PE/LBO), génération liquidités, 63% réinvesti, reste 34% à allouer. Nouvelle stratégie : VC, focus qualité équipes/thématiques. 27/04: relance mail, proposition nouveau call. Timing jugé excellent. Prochaine étape : call à planifier.&lt;/p&gt;</v>
      </c>
      <c r="H30" s="10" cm="1" t="str">
        <f t="array" ref="H30">IF(G30="","",SUBSTITUTE(SUBSTITUTE(SUBSTITUTE(SUBSTITUTE(SUBSTITUTE(G30,"&lt;p&gt;",""),"&lt;/p&gt;",""),"&lt;ul&gt;",""),"&lt;/ul&gt;",""),"&lt;/strong&gt;",""))</f>
        <v>14/04: call, envoi decks. Nouvelle équipe, vente 2/3 portefeuille (RE, PE/LBO), génération liquidités, 63% réinvesti, reste 34% à allouer. Nouvelle stratégie : VC, focus qualité équipes/thématiques. 27/04: relance mail, proposition nouveau call. Timing jugé excellent. Prochaine étape : call à planifier.</v>
      </c>
      <c r="I30" s="11" cm="1" t="str">
        <f t="array" ref="I30">IF(C30="","",IF(OR(H30="",H30=0,H30=FALSE),"-",H30))</f>
        <v>14/04: call, envoi decks. Nouvelle équipe, vente 2/3 portefeuille (RE, PE/LBO), génération liquidités, 63% réinvesti, reste 34% à allouer. Nouvelle stratégie : VC, focus qualité équipes/thématiques. 27/04: relance mail, proposition nouveau call. Timing jugé excellent. Prochaine étape : call à planifier.</v>
      </c>
      <c r="J30" s="5">
</c>
      <c r="K30" s="6" t="s">
        <v>29</v>
      </c>
      <c r="L30" s="6" cm="1" t="str">
        <f t="array" ref="L30">IF(C30="","",IF(K30="Mort / Plus rien à faire","KO","OK"))</f>
        <v>OK</v>
      </c>
      <c r="M30" s="12">
        <v>46139.42835648148</v>
      </c>
      <c r="N30" s="12" cm="1" t="n">
        <f t="array" ref="N30">IF(OR(C30="",M30="",M30=0),"",M30)</f>
        <v>46139.42835648148</v>
      </c>
      <c r="O30" s="12">
</c>
      <c r="P30" s="12" cm="1" t="str">
        <f t="array" ref="P30">IF(C30="","",IF(OR(O30="",O30=0),"-",O30))</f>
        <v>-</v>
      </c>
      <c r="Q30" s="13">
        <v>0</v>
      </c>
      <c r="R30" s="9" cm="1" t="str">
        <f t="array" ref="R30">IF(C30="","",ROUND(Q30/1000000,3)&amp;" M€")</f>
        <v>0 M€</v>
      </c>
      <c r="S30" s="9" t="s">
        <v>42</v>
      </c>
      <c r="T30" s="9" cm="1" t="str">
        <f t="array" ref="T30">IF(C30="","",SUBSTITUTE(S30,"","")&amp;"%")</f>
        <v>10%</v>
      </c>
      <c r="U30" s="11" cm="1" t="str">
        <f t="array" ref="U30">IF(($N30="")*($P30=""),"",IF(($N30&lt;&gt;"")*($N30&gt;TODAY()-9)*($N30&lt;TODAY()+1)*($P30&lt;&gt;"")*($P30&gt;=TODAY())*($P30&lt;=TODAY()+13),"Semaine passée &amp; à venir",IF(($N30&lt;&gt;"")*($N30&gt;TODAY()-9)*($N30&lt;TODAY()+1),"Semaine passée",IF(($P30&lt;&gt;"")*($P30&gt;=TODAY())*($P30&lt;=TODAY()+13),"À venir","Autre"))))</f>
        <v>Semaine passée</v>
      </c>
      <c r="V30" s="5" cm="1" t="n">
        <f t="array" ref="V30">IF(C30&lt;&gt;"",1,0)</f>
        <v>1</v>
      </c>
      <c r="W30" s="5">
</c>
      <c r="X30" s="5">
</c>
      <c r="Y30" s="5">
</c>
      <c r="Z30" s="5">
</c>
      <c r="AA30" s="5">
</c>
      <c r="AB30" s="5">
</c>
      <c r="AC30" s="5">
</c>
      <c r="AD30" s="5">
</c>
      <c r="AE30" s="5">
</c>
      <c r="AF30" s="5">
</c>
      <c r="AG30" s="5">
</c>
      <c r="AH30" s="5">
</c>
      <c r="AI30" s="5">
</c>
      <c r="AJ30" s="5">
</c>
    </row>
    <row r="31" ht="81" customHeight="1">
      <c r="A31" s="6" t="s">
        <v>23</v>
      </c>
      <c r="B31" s="6" t="s">
        <v>63</v>
      </c>
      <c r="C31" s="9" t="s">
        <v>128</v>
      </c>
      <c r="D31" s="9" t="s">
        <v>129</v>
      </c>
      <c r="E31" s="6" t="s">
        <v>27</v>
      </c>
      <c r="F31" s="5" t="s">
        <v>130</v>
      </c>
      <c r="G31" s="10" cm="1" t="str">
        <f t="array" ref="G31">IF(F31="","",SUBSTITUTE(SUBSTITUTE(SUBSTITUTE(SUBSTITUTE(F31,"&lt;li&gt;",CHAR(10)),"&lt;/li&gt;",""),"&lt;br&gt;",CHAR(10)),"&lt;strong&gt;",""))</f>
        <v>&lt;p&gt;16/04: prospect intéressé par la thématique, retour positif mais pas de suite donnée. 27/04: relance envoyée par Théo Salerno, attente de réponse. Pas d'autres actions ni retours depuis. Prochaine étape : suivre la réponse à la relance.&lt;/p&gt;</v>
      </c>
      <c r="H31" s="10" cm="1" t="str">
        <f t="array" ref="H31">IF(G31="","",SUBSTITUTE(SUBSTITUTE(SUBSTITUTE(SUBSTITUTE(SUBSTITUTE(G31,"&lt;p&gt;",""),"&lt;/p&gt;",""),"&lt;ul&gt;",""),"&lt;/ul&gt;",""),"&lt;/strong&gt;",""))</f>
        <v>16/04: prospect intéressé par la thématique, retour positif mais pas de suite donnée. 27/04: relance envoyée par Théo Salerno, attente de réponse. Pas d'autres actions ni retours depuis. Prochaine étape : suivre la réponse à la relance.</v>
      </c>
      <c r="I31" s="11" cm="1" t="str">
        <f t="array" ref="I31">IF(C31="","",IF(OR(H31="",H31=0,H31=FALSE),"-",H31))</f>
        <v>16/04: prospect intéressé par la thématique, retour positif mais pas de suite donnée. 27/04: relance envoyée par Théo Salerno, attente de réponse. Pas d'autres actions ni retours depuis. Prochaine étape : suivre la réponse à la relance.</v>
      </c>
      <c r="J31" s="5">
</c>
      <c r="K31" s="6" t="s">
        <v>41</v>
      </c>
      <c r="L31" s="6" cm="1" t="str">
        <f t="array" ref="L31">IF(C31="","",IF(K31="Mort / Plus rien à faire","KO","OK"))</f>
        <v>OK</v>
      </c>
      <c r="M31" s="12">
        <v>46139.43734953704</v>
      </c>
      <c r="N31" s="12" cm="1" t="n">
        <f t="array" ref="N31">IF(OR(C31="",M31="",M31=0),"",M31)</f>
        <v>46139.43734953704</v>
      </c>
      <c r="O31" s="12">
</c>
      <c r="P31" s="12" cm="1" t="str">
        <f t="array" ref="P31">IF(C31="","",IF(OR(O31="",O31=0),"-",O31))</f>
        <v>-</v>
      </c>
      <c r="Q31" s="13">
        <v>0</v>
      </c>
      <c r="R31" s="9" cm="1" t="str">
        <f t="array" ref="R31">IF(C31="","",ROUND(Q31/1000000,3)&amp;" M€")</f>
        <v>0 M€</v>
      </c>
      <c r="S31" s="9" t="s">
        <v>42</v>
      </c>
      <c r="T31" s="9" cm="1" t="str">
        <f t="array" ref="T31">IF(C31="","",SUBSTITUTE(S31,"","")&amp;"%")</f>
        <v>10%</v>
      </c>
      <c r="U31" s="11" cm="1" t="str">
        <f t="array" ref="U31">IF(($N31="")*($P31=""),"",IF(($N31&lt;&gt;"")*($N31&gt;TODAY()-9)*($N31&lt;TODAY()+1)*($P31&lt;&gt;"")*($P31&gt;=TODAY())*($P31&lt;=TODAY()+13),"Semaine passée &amp; à venir",IF(($N31&lt;&gt;"")*($N31&gt;TODAY()-9)*($N31&lt;TODAY()+1),"Semaine passée",IF(($P31&lt;&gt;"")*($P31&gt;=TODAY())*($P31&lt;=TODAY()+13),"À venir","Autre"))))</f>
        <v>Semaine passée</v>
      </c>
      <c r="V31" s="5" cm="1" t="n">
        <f t="array" ref="V31">IF(C31&lt;&gt;"",1,0)</f>
        <v>1</v>
      </c>
      <c r="W31" s="5">
</c>
      <c r="X31" s="5">
</c>
      <c r="Y31" s="5">
</c>
      <c r="Z31" s="5">
</c>
      <c r="AA31" s="5">
</c>
      <c r="AB31" s="5">
</c>
      <c r="AC31" s="5">
</c>
      <c r="AD31" s="5">
</c>
      <c r="AE31" s="5">
</c>
      <c r="AF31" s="5">
</c>
      <c r="AG31" s="5">
</c>
      <c r="AH31" s="5">
</c>
      <c r="AI31" s="5">
</c>
      <c r="AJ31" s="5">
</c>
    </row>
    <row r="32" ht="81" customHeight="1">
      <c r="A32" s="6" t="s">
        <v>23</v>
      </c>
      <c r="B32" s="6" t="s">
        <v>63</v>
      </c>
      <c r="C32" s="9" t="s">
        <v>131</v>
      </c>
      <c r="D32" s="9" t="s">
        <v>132</v>
      </c>
      <c r="E32" s="6" t="s">
        <v>27</v>
      </c>
      <c r="F32" s="5" t="s">
        <v>133</v>
      </c>
      <c r="G32" s="10" cm="1" t="str">
        <f t="array" ref="G32">IF(F32="","",SUBSTITUTE(SUBSTITUTE(SUBSTITUTE(SUBSTITUTE(F32,"&lt;li&gt;",CHAR(10)),"&lt;/li&gt;",""),"&lt;br&gt;",CHAR(10)),"&lt;strong&gt;",""))</f>
        <v>&lt;p&gt;Docs envoyés, équipe prospect en revue mais délai annoncé (17/04). Retour du 21/04 : fonds dédiés jugés intéressants mais prudence accrue pour nouveaux gérants, décision reportée, timing non opportun. Call proposé par Théo Salerno, pas de suite immédiate. Suivi à maintenir, relancer périodiquement.&lt;/p&gt;</v>
      </c>
      <c r="H32" s="10" cm="1" t="str">
        <f t="array" ref="H32">IF(G32="","",SUBSTITUTE(SUBSTITUTE(SUBSTITUTE(SUBSTITUTE(SUBSTITUTE(G32,"&lt;p&gt;",""),"&lt;/p&gt;",""),"&lt;ul&gt;",""),"&lt;/ul&gt;",""),"&lt;/strong&gt;",""))</f>
        <v>Docs envoyés, équipe prospect en revue mais délai annoncé (17/04). Retour du 21/04 : fonds dédiés jugés intéressants mais prudence accrue pour nouveaux gérants, décision reportée, timing non opportun. Call proposé par Théo Salerno, pas de suite immédiate. Suivi à maintenir, relancer périodiquement.</v>
      </c>
      <c r="I32" s="11" cm="1" t="str">
        <f t="array" ref="I32">IF(C32="","",IF(OR(H32="",H32=0,H32=FALSE),"-",H32))</f>
        <v>Docs envoyés, équipe prospect en revue mais délai annoncé (17/04). Retour du 21/04 : fonds dédiés jugés intéressants mais prudence accrue pour nouveaux gérants, décision reportée, timing non opportun. Call proposé par Théo Salerno, pas de suite immédiate. Suivi à maintenir, relancer périodiquement.</v>
      </c>
      <c r="J32" s="5">
</c>
      <c r="K32" s="6" t="s">
        <v>72</v>
      </c>
      <c r="L32" s="6" cm="1" t="str">
        <f t="array" ref="L32">IF(C32="","",IF(K32="Mort / Plus rien à faire","KO","OK"))</f>
        <v>OK</v>
      </c>
      <c r="M32" s="12">
        <v>46139.43513888889</v>
      </c>
      <c r="N32" s="12" cm="1" t="n">
        <f t="array" ref="N32">IF(OR(C32="",M32="",M32=0),"",M32)</f>
        <v>46139.43513888889</v>
      </c>
      <c r="O32" s="12">
</c>
      <c r="P32" s="12" cm="1" t="str">
        <f t="array" ref="P32">IF(C32="","",IF(OR(O32="",O32=0),"-",O32))</f>
        <v>-</v>
      </c>
      <c r="Q32" s="13">
        <v>0</v>
      </c>
      <c r="R32" s="9" cm="1" t="str">
        <f t="array" ref="R32">IF(C32="","",ROUND(Q32/1000000,3)&amp;" M€")</f>
        <v>0 M€</v>
      </c>
      <c r="S32" s="9" t="s">
        <v>42</v>
      </c>
      <c r="T32" s="9" cm="1" t="str">
        <f t="array" ref="T32">IF(C32="","",SUBSTITUTE(S32,"","")&amp;"%")</f>
        <v>10%</v>
      </c>
      <c r="U32" s="11" cm="1" t="str">
        <f t="array" ref="U32">IF(($N32="")*($P32=""),"",IF(($N32&lt;&gt;"")*($N32&gt;TODAY()-9)*($N32&lt;TODAY()+1)*($P32&lt;&gt;"")*($P32&gt;=TODAY())*($P32&lt;=TODAY()+13),"Semaine passée &amp; à venir",IF(($N32&lt;&gt;"")*($N32&gt;TODAY()-9)*($N32&lt;TODAY()+1),"Semaine passée",IF(($P32&lt;&gt;"")*($P32&gt;=TODAY())*($P32&lt;=TODAY()+13),"À venir","Autre"))))</f>
        <v>Semaine passée</v>
      </c>
      <c r="V32" s="5" cm="1" t="n">
        <f t="array" ref="V32">IF(C32&lt;&gt;"",1,0)</f>
        <v>1</v>
      </c>
      <c r="W32" s="5">
</c>
      <c r="X32" s="5">
</c>
      <c r="Y32" s="5">
</c>
      <c r="Z32" s="5">
</c>
      <c r="AA32" s="5">
</c>
      <c r="AB32" s="5">
</c>
      <c r="AC32" s="5">
</c>
      <c r="AD32" s="5">
</c>
      <c r="AE32" s="5">
</c>
      <c r="AF32" s="5">
</c>
      <c r="AG32" s="5">
</c>
      <c r="AH32" s="5">
</c>
      <c r="AI32" s="5">
</c>
      <c r="AJ32" s="5">
</c>
    </row>
    <row r="33" ht="81" customHeight="1">
      <c r="A33" s="6" t="s">
        <v>23</v>
      </c>
      <c r="B33" s="6" t="s">
        <v>63</v>
      </c>
      <c r="C33" s="9" t="s">
        <v>134</v>
      </c>
      <c r="D33" s="9" t="s">
        <v>135</v>
      </c>
      <c r="E33" s="6" t="s">
        <v>27</v>
      </c>
      <c r="F33" s="5" t="s">
        <v>136</v>
      </c>
      <c r="G33" s="10" cm="1" t="str">
        <f t="array" ref="G33">IF(F33="","",SUBSTITUTE(SUBSTITUTE(SUBSTITUTE(SUBSTITUTE(F33,"&lt;li&gt;",CHAR(10)),"&lt;/li&gt;",""),"&lt;br&gt;",CHAR(10)),"&lt;strong&gt;",""))</f>
        <v>&lt;p&gt;Piste créée pour équipe Ventes. Premier contact : prospect indique pipeline saturé, priorise d'autres opportunités à court/moyen terme, propose de recontacter plus tard dans l'année. Aucune action ou activité supplémentaire enregistrée à ce jour. Prochaine étape : relance ultérieure.&lt;/p&gt;</v>
      </c>
      <c r="H33" s="10" cm="1" t="str">
        <f t="array" ref="H33">IF(G33="","",SUBSTITUTE(SUBSTITUTE(SUBSTITUTE(SUBSTITUTE(SUBSTITUTE(G33,"&lt;p&gt;",""),"&lt;/p&gt;",""),"&lt;ul&gt;",""),"&lt;/ul&gt;",""),"&lt;/strong&gt;",""))</f>
        <v>Piste créée pour équipe Ventes. Premier contact : prospect indique pipeline saturé, priorise d'autres opportunités à court/moyen terme, propose de recontacter plus tard dans l'année. Aucune action ou activité supplémentaire enregistrée à ce jour. Prochaine étape : relance ultérieure.</v>
      </c>
      <c r="I33" s="11" cm="1" t="str">
        <f t="array" ref="I33">IF(C33="","",IF(OR(H33="",H33=0,H33=FALSE),"-",H33))</f>
        <v>Piste créée pour équipe Ventes. Premier contact : prospect indique pipeline saturé, priorise d'autres opportunités à court/moyen terme, propose de recontacter plus tard dans l'année. Aucune action ou activité supplémentaire enregistrée à ce jour. Prochaine étape : relance ultérieure.</v>
      </c>
      <c r="J33" s="5">
</c>
      <c r="K33" s="6" t="s">
        <v>72</v>
      </c>
      <c r="L33" s="6" cm="1" t="str">
        <f t="array" ref="L33">IF(C33="","",IF(K33="Mort / Plus rien à faire","KO","OK"))</f>
        <v>OK</v>
      </c>
      <c r="M33" s="12">
        <v>46129.656481481485</v>
      </c>
      <c r="N33" s="12" cm="1" t="n">
        <f t="array" ref="N33">IF(OR(C33="",M33="",M33=0),"",M33)</f>
        <v>46129.656481481485</v>
      </c>
      <c r="O33" s="12">
        <v>46181.625</v>
      </c>
      <c r="P33" s="12" cm="1" t="n">
        <f t="array" ref="P33">IF(C33="","",IF(OR(O33="",O33=0),"-",O33))</f>
        <v>46181.625</v>
      </c>
      <c r="Q33" s="13">
        <v>0</v>
      </c>
      <c r="R33" s="9" cm="1" t="str">
        <f t="array" ref="R33">IF(C33="","",ROUND(Q33/1000000,3)&amp;" M€")</f>
        <v>0 M€</v>
      </c>
      <c r="S33" s="9" t="s">
        <v>42</v>
      </c>
      <c r="T33" s="9" cm="1" t="str">
        <f t="array" ref="T33">IF(C33="","",SUBSTITUTE(S33,"","")&amp;"%")</f>
        <v>10%</v>
      </c>
      <c r="U33" s="11" cm="1" t="str">
        <f t="array" ref="U33">IF(($N33="")*($P33=""),"",IF(($N33&lt;&gt;"")*($N33&gt;TODAY()-9)*($N33&lt;TODAY()+1)*($P33&lt;&gt;"")*($P33&gt;=TODAY())*($P33&lt;=TODAY()+13),"Semaine passée &amp; à venir",IF(($N33&lt;&gt;"")*($N33&gt;TODAY()-9)*($N33&lt;TODAY()+1),"Semaine passée",IF(($P33&lt;&gt;"")*($P33&gt;=TODAY())*($P33&lt;=TODAY()+13),"À venir","Autre"))))</f>
        <v>Autre</v>
      </c>
      <c r="V33" s="5" cm="1" t="n">
        <f t="array" ref="V33">IF(C33&lt;&gt;"",1,0)</f>
        <v>1</v>
      </c>
      <c r="W33" s="5">
</c>
      <c r="X33" s="5">
</c>
      <c r="Y33" s="5">
</c>
      <c r="Z33" s="5">
</c>
      <c r="AA33" s="5">
</c>
      <c r="AB33" s="5">
</c>
      <c r="AC33" s="5">
</c>
      <c r="AD33" s="5">
</c>
      <c r="AE33" s="5">
</c>
      <c r="AF33" s="5">
</c>
      <c r="AG33" s="5">
</c>
      <c r="AH33" s="5">
</c>
      <c r="AI33" s="5">
</c>
      <c r="AJ33" s="5">
</c>
    </row>
    <row r="34" ht="81" customHeight="1">
      <c r="A34" s="6" t="s">
        <v>23</v>
      </c>
      <c r="B34" s="6" t="s">
        <v>37</v>
      </c>
      <c r="C34" s="9" t="s">
        <v>137</v>
      </c>
      <c r="D34" s="9" t="s">
        <v>138</v>
      </c>
      <c r="E34" s="6" t="s">
        <v>34</v>
      </c>
      <c r="F34" s="5" t="s">
        <v>139</v>
      </c>
      <c r="G34" s="10" cm="1" t="str">
        <f t="array" ref="G34">IF(F34="","",SUBSTITUTE(SUBSTITUTE(SUBSTITUTE(SUBSTITUTE(F34,"&lt;li&gt;",CHAR(10)),"&lt;/li&gt;",""),"&lt;br&gt;",CHAR(10)),"&lt;strong&gt;",""))</f>
        <v>&lt;p&gt;Relance ciblée sur EXERGON, prospect très axé PE, peu ouvert VC, suggestion de contacter Cardif. 30/09/2025: absence de réponse, RDV le 5 mai sur autre sujet, attente traitement Saptial, AXA discute avec Entrooview. Relances faites auprès de Benjamin Komarnicki. Prochaine étape : relance prévue 04/01/2027.&lt;/p&gt;</v>
      </c>
      <c r="H34" s="10" cm="1" t="str">
        <f t="array" ref="H34">IF(G34="","",SUBSTITUTE(SUBSTITUTE(SUBSTITUTE(SUBSTITUTE(SUBSTITUTE(G34,"&lt;p&gt;",""),"&lt;/p&gt;",""),"&lt;ul&gt;",""),"&lt;/ul&gt;",""),"&lt;/strong&gt;",""))</f>
        <v>Relance ciblée sur EXERGON, prospect très axé PE, peu ouvert VC, suggestion de contacter Cardif. 30/09/2025: absence de réponse, RDV le 5 mai sur autre sujet, attente traitement Saptial, AXA discute avec Entrooview. Relances faites auprès de Benjamin Komarnicki. Prochaine étape : relance prévue 04/01/2027.</v>
      </c>
      <c r="I34" s="11" cm="1" t="str">
        <f t="array" ref="I34">IF(C34="","",IF(OR(H34="",H34=0,H34=FALSE),"-",H34))</f>
        <v>Relance ciblée sur EXERGON, prospect très axé PE, peu ouvert VC, suggestion de contacter Cardif. 30/09/2025: absence de réponse, RDV le 5 mai sur autre sujet, attente traitement Saptial, AXA discute avec Entrooview. Relances faites auprès de Benjamin Komarnicki. Prochaine étape : relance prévue 04/01/2027.</v>
      </c>
      <c r="J34" s="5" t="s">
        <v>140</v>
      </c>
      <c r="K34" s="6" t="s">
        <v>141</v>
      </c>
      <c r="L34" s="6" cm="1" t="str">
        <f t="array" ref="L34">IF(C34="","",IF(K34="Mort / Plus rien à faire","KO","OK"))</f>
        <v>KO</v>
      </c>
      <c r="M34" s="12">
        <v>46140.83127314815</v>
      </c>
      <c r="N34" s="12" cm="1" t="n">
        <f t="array" ref="N34">IF(OR(C34="",M34="",M34=0),"",M34)</f>
        <v>46140.83127314815</v>
      </c>
      <c r="O34" s="12">
        <v>46391.041666666664</v>
      </c>
      <c r="P34" s="12" cm="1" t="n">
        <f t="array" ref="P34">IF(C34="","",IF(OR(O34="",O34=0),"-",O34))</f>
        <v>46391.041666666664</v>
      </c>
      <c r="Q34" s="13">
        <v>0</v>
      </c>
      <c r="R34" s="9" cm="1" t="str">
        <f t="array" ref="R34">IF(C34="","",ROUND(Q34/1000000,3)&amp;" M€")</f>
        <v>0 M€</v>
      </c>
      <c r="S34" s="9" t="s">
        <v>142</v>
      </c>
      <c r="T34" s="9" cm="1" t="str">
        <f t="array" ref="T34">IF(C34="","",SUBSTITUTE(S34,"","")&amp;"%")</f>
        <v>0%</v>
      </c>
      <c r="U34" s="11" cm="1" t="str">
        <f t="array" ref="U34">IF(($N34="")*($P34=""),"",IF(($N34&lt;&gt;"")*($N34&gt;TODAY()-9)*($N34&lt;TODAY()+1)*($P34&lt;&gt;"")*($P34&gt;=TODAY())*($P34&lt;=TODAY()+13),"Semaine passée &amp; à venir",IF(($N34&lt;&gt;"")*($N34&gt;TODAY()-9)*($N34&lt;TODAY()+1),"Semaine passée",IF(($P34&lt;&gt;"")*($P34&gt;=TODAY())*($P34&lt;=TODAY()+13),"À venir","Autre"))))</f>
        <v>Semaine passée</v>
      </c>
      <c r="V34" s="5" cm="1" t="n">
        <f t="array" ref="V34">IF(C34&lt;&gt;"",1,0)</f>
        <v>1</v>
      </c>
      <c r="W34" s="5">
</c>
      <c r="X34" s="5">
</c>
      <c r="Y34" s="5">
</c>
      <c r="Z34" s="5">
</c>
      <c r="AA34" s="5">
</c>
      <c r="AB34" s="5">
</c>
      <c r="AC34" s="5">
</c>
      <c r="AD34" s="5">
</c>
      <c r="AE34" s="5">
</c>
      <c r="AF34" s="5">
</c>
      <c r="AG34" s="5">
</c>
      <c r="AH34" s="5">
</c>
      <c r="AI34" s="5">
</c>
      <c r="AJ34" s="5">
</c>
    </row>
    <row r="35" ht="81" customHeight="1">
      <c r="A35" s="6" t="s">
        <v>23</v>
      </c>
      <c r="B35" s="6" t="s">
        <v>143</v>
      </c>
      <c r="C35" s="9" t="s">
        <v>144</v>
      </c>
      <c r="D35" s="9" t="s">
        <v>145</v>
      </c>
      <c r="E35" s="6" t="s">
        <v>34</v>
      </c>
      <c r="F35" s="5" t="s">
        <v>146</v>
      </c>
      <c r="G35" s="10" cm="1" t="str">
        <f t="array" ref="G35">IF(F35="","",SUBSTITUTE(SUBSTITUTE(SUBSTITUTE(SUBSTITUTE(F35,"&lt;li&gt;",CHAR(10)),"&lt;/li&gt;",""),"&lt;br&gt;",CHAR(10)),"&lt;strong&gt;",""))</f>
        <v>&lt;p&gt;Process interne OPF 2025 sur private markets, décision d'investir dans GPs nordiques, BP finalisé mi-avril 2026. Mandat possible pour stratégie Aerospace &amp;amp; Defense (base Suède). Fonds new nuclear exclu (GP français). Prochain RDV prévu janv 2027. Attente validation BP, contact investisseurs Oslo possible.&lt;/p&gt;</v>
      </c>
      <c r="H35" s="10" cm="1" t="str">
        <f t="array" ref="H35">IF(G35="","",SUBSTITUTE(SUBSTITUTE(SUBSTITUTE(SUBSTITUTE(SUBSTITUTE(G35,"&lt;p&gt;",""),"&lt;/p&gt;",""),"&lt;ul&gt;",""),"&lt;/ul&gt;",""),"&lt;/strong&gt;",""))</f>
        <v>Process interne OPF 2025 sur private markets, décision d'investir dans GPs nordiques, BP finalisé mi-avril 2026. Mandat possible pour stratégie Aerospace &amp;amp; Defense (base Suède). Fonds new nuclear exclu (GP français). Prochain RDV prévu janv 2027. Attente validation BP, contact investisseurs Oslo possible.</v>
      </c>
      <c r="I35" s="11" cm="1" t="str">
        <f t="array" ref="I35">IF(C35="","",IF(OR(H35="",H35=0,H35=FALSE),"-",H35))</f>
        <v>Process interne OPF 2025 sur private markets, décision d'investir dans GPs nordiques, BP finalisé mi-avril 2026. Mandat possible pour stratégie Aerospace &amp;amp; Defense (base Suède). Fonds new nuclear exclu (GP français). Prochain RDV prévu janv 2027. Attente validation BP, contact investisseurs Oslo possible.</v>
      </c>
      <c r="J35" s="5" t="s">
        <v>147</v>
      </c>
      <c r="K35" s="6" t="s">
        <v>141</v>
      </c>
      <c r="L35" s="6" cm="1" t="str">
        <f t="array" ref="L35">IF(C35="","",IF(K35="Mort / Plus rien à faire","KO","OK"))</f>
        <v>KO</v>
      </c>
      <c r="M35" s="12">
        <v>46094.56726851852</v>
      </c>
      <c r="N35" s="12" cm="1" t="n">
        <f t="array" ref="N35">IF(OR(C35="",M35="",M35=0),"",M35)</f>
        <v>46094.56726851852</v>
      </c>
      <c r="O35" s="12">
</c>
      <c r="P35" s="12" cm="1" t="str">
        <f t="array" ref="P35">IF(C35="","",IF(OR(O35="",O35=0),"-",O35))</f>
        <v>-</v>
      </c>
      <c r="Q35" s="13">
        <v>15000000</v>
      </c>
      <c r="R35" s="9" cm="1" t="str">
        <f t="array" ref="R35">IF(C35="","",ROUND(Q35/1000000,3)&amp;" M€")</f>
        <v>15 M€</v>
      </c>
      <c r="S35" s="9" t="s">
        <v>142</v>
      </c>
      <c r="T35" s="9" cm="1" t="str">
        <f t="array" ref="T35">IF(C35="","",SUBSTITUTE(S35,"","")&amp;"%")</f>
        <v>0%</v>
      </c>
      <c r="U35" s="11" cm="1" t="str">
        <f t="array" ref="U35">IF(($N35="")*($P35=""),"",IF(($N35&lt;&gt;"")*($N35&gt;TODAY()-9)*($N35&lt;TODAY()+1)*($P35&lt;&gt;"")*($P35&gt;=TODAY())*($P35&lt;=TODAY()+13),"Semaine passée &amp; à venir",IF(($N35&lt;&gt;"")*($N35&gt;TODAY()-9)*($N35&lt;TODAY()+1),"Semaine passée",IF(($P35&lt;&gt;"")*($P35&gt;=TODAY())*($P35&lt;=TODAY()+13),"À venir","Autre"))))</f>
        <v>Autre</v>
      </c>
      <c r="V35" s="5" cm="1" t="n">
        <f t="array" ref="V35">IF(C35&lt;&gt;"",1,0)</f>
        <v>1</v>
      </c>
      <c r="W35" s="5">
</c>
      <c r="X35" s="5">
</c>
      <c r="Y35" s="5">
</c>
      <c r="Z35" s="5">
</c>
      <c r="AA35" s="5">
</c>
      <c r="AB35" s="5">
</c>
      <c r="AC35" s="5">
</c>
      <c r="AD35" s="5">
</c>
      <c r="AE35" s="5">
</c>
      <c r="AF35" s="5">
</c>
      <c r="AG35" s="5">
</c>
      <c r="AH35" s="5">
</c>
      <c r="AI35" s="5">
</c>
      <c r="AJ35" s="5">
</c>
    </row>
    <row r="36" ht="81" customHeight="1">
      <c r="A36" s="6" t="s">
        <v>23</v>
      </c>
      <c r="B36" s="6" t="s">
        <v>37</v>
      </c>
      <c r="C36" s="9" t="s">
        <v>148</v>
      </c>
      <c r="D36" s="9" t="s">
        <v>149</v>
      </c>
      <c r="E36" s="6" t="s">
        <v>34</v>
      </c>
      <c r="F36" s="5" t="s">
        <v>150</v>
      </c>
      <c r="G36" s="10" cm="1" t="str">
        <f t="array" ref="G36">IF(F36="","",SUBSTITUTE(SUBSTITUTE(SUBSTITUTE(SUBSTITUTE(F36,"&lt;li&gt;",CHAR(10)),"&lt;/li&gt;",""),"&lt;br&gt;",CHAR(10)),"&lt;strong&gt;",""))</f>
        <v>&lt;p&gt;Café avec Guillaume Danssault (COVEA) après relance post-newsletter EXERGON n°10. COVEA : 80% re-up PE, 20% nouvelles stratégies PE, exit autres stratégies dont Exergon. Attente validation allocation Non coté PE Straton. Ouverture possible sur La Défense. Prochaine étape : planifier RDV.&lt;/p&gt;</v>
      </c>
      <c r="H36" s="10" cm="1" t="str">
        <f t="array" ref="H36">IF(G36="","",SUBSTITUTE(SUBSTITUTE(SUBSTITUTE(SUBSTITUTE(SUBSTITUTE(G36,"&lt;p&gt;",""),"&lt;/p&gt;",""),"&lt;ul&gt;",""),"&lt;/ul&gt;",""),"&lt;/strong&gt;",""))</f>
        <v>Café avec Guillaume Danssault (COVEA) après relance post-newsletter EXERGON n°10. COVEA : 80% re-up PE, 20% nouvelles stratégies PE, exit autres stratégies dont Exergon. Attente validation allocation Non coté PE Straton. Ouverture possible sur La Défense. Prochaine étape : planifier RDV.</v>
      </c>
      <c r="I36" s="11" cm="1" t="str">
        <f t="array" ref="I36">IF(C36="","",IF(OR(H36="",H36=0,H36=FALSE),"-",H36))</f>
        <v>Café avec Guillaume Danssault (COVEA) après relance post-newsletter EXERGON n°10. COVEA : 80% re-up PE, 20% nouvelles stratégies PE, exit autres stratégies dont Exergon. Attente validation allocation Non coté PE Straton. Ouverture possible sur La Défense. Prochaine étape : planifier RDV.</v>
      </c>
      <c r="J36" s="5">
</c>
      <c r="K36" s="6" t="s">
        <v>141</v>
      </c>
      <c r="L36" s="6" cm="1" t="str">
        <f t="array" ref="L36">IF(C36="","",IF(K36="Mort / Plus rien à faire","KO","OK"))</f>
        <v>KO</v>
      </c>
      <c r="M36" s="12">
        <v>46129.75020833333</v>
      </c>
      <c r="N36" s="12" cm="1" t="n">
        <f t="array" ref="N36">IF(OR(C36="",M36="",M36=0),"",M36)</f>
        <v>46129.75020833333</v>
      </c>
      <c r="O36" s="12">
</c>
      <c r="P36" s="12" cm="1" t="str">
        <f t="array" ref="P36">IF(C36="","",IF(OR(O36="",O36=0),"-",O36))</f>
        <v>-</v>
      </c>
      <c r="Q36" s="13">
        <v>0</v>
      </c>
      <c r="R36" s="9" cm="1" t="str">
        <f t="array" ref="R36">IF(C36="","",ROUND(Q36/1000000,3)&amp;" M€")</f>
        <v>0 M€</v>
      </c>
      <c r="S36" s="9" t="s">
        <v>142</v>
      </c>
      <c r="T36" s="9" cm="1" t="str">
        <f t="array" ref="T36">IF(C36="","",SUBSTITUTE(S36,"","")&amp;"%")</f>
        <v>0%</v>
      </c>
      <c r="U36" s="11" cm="1" t="str">
        <f t="array" ref="U36">IF(($N36="")*($P36=""),"",IF(($N36&lt;&gt;"")*($N36&gt;TODAY()-9)*($N36&lt;TODAY()+1)*($P36&lt;&gt;"")*($P36&gt;=TODAY())*($P36&lt;=TODAY()+13),"Semaine passée &amp; à venir",IF(($N36&lt;&gt;"")*($N36&gt;TODAY()-9)*($N36&lt;TODAY()+1),"Semaine passée",IF(($P36&lt;&gt;"")*($P36&gt;=TODAY())*($P36&lt;=TODAY()+13),"À venir","Autre"))))</f>
        <v>Autre</v>
      </c>
      <c r="V36" s="5" cm="1" t="n">
        <f t="array" ref="V36">IF(C36&lt;&gt;"",1,0)</f>
        <v>1</v>
      </c>
      <c r="W36" s="5">
</c>
      <c r="X36" s="5">
</c>
      <c r="Y36" s="5">
</c>
      <c r="Z36" s="5">
</c>
      <c r="AA36" s="5">
</c>
      <c r="AB36" s="5">
</c>
      <c r="AC36" s="5">
</c>
      <c r="AD36" s="5">
</c>
      <c r="AE36" s="5">
</c>
      <c r="AF36" s="5">
</c>
      <c r="AG36" s="5">
</c>
      <c r="AH36" s="5">
</c>
      <c r="AI36" s="5">
</c>
      <c r="AJ36" s="5">
</c>
    </row>
    <row r="37" ht="81" customHeight="1">
      <c r="A37" s="6" t="s">
        <v>23</v>
      </c>
      <c r="B37" s="6" t="s">
        <v>151</v>
      </c>
      <c r="C37" s="9" t="s">
        <v>152</v>
      </c>
      <c r="D37" s="9" t="s">
        <v>153</v>
      </c>
      <c r="E37" s="6" t="s">
        <v>34</v>
      </c>
      <c r="F37" s="5" t="s">
        <v>154</v>
      </c>
      <c r="G37" s="10" cm="1" t="str">
        <f t="array" ref="G37">IF(F37="","",SUBSTITUTE(SUBSTITUTE(SUBSTITUTE(SUBSTITUTE(F37,"&lt;li&gt;",CHAR(10)),"&lt;/li&gt;",""),"&lt;br&gt;",CHAR(10)),"&lt;strong&gt;",""))</f>
        <v>&lt;p&gt;RDV physique 9/03/2026 ENEC : échanges sur besoins tech, évaluation R&amp;amp;D par Nind, ouverture DataRoom, focus sur impact fonds pour programme nucléaire UAE, scaling, partenariats newtech, Forward Investments (DEWA) évoqué. Prochaine étape : préDD, poursuite discussions tech/invest.&lt;/p&gt;</v>
      </c>
      <c r="H37" s="10" cm="1" t="str">
        <f t="array" ref="H37">IF(G37="","",SUBSTITUTE(SUBSTITUTE(SUBSTITUTE(SUBSTITUTE(SUBSTITUTE(G37,"&lt;p&gt;",""),"&lt;/p&gt;",""),"&lt;ul&gt;",""),"&lt;/ul&gt;",""),"&lt;/strong&gt;",""))</f>
        <v>RDV physique 9/03/2026 ENEC : échanges sur besoins tech, évaluation R&amp;amp;D par Nind, ouverture DataRoom, focus sur impact fonds pour programme nucléaire UAE, scaling, partenariats newtech, Forward Investments (DEWA) évoqué. Prochaine étape : préDD, poursuite discussions tech/invest.</v>
      </c>
      <c r="I37" s="11" cm="1" t="str">
        <f t="array" ref="I37">IF(C37="","",IF(OR(H37="",H37=0,H37=FALSE),"-",H37))</f>
        <v>RDV physique 9/03/2026 ENEC : échanges sur besoins tech, évaluation R&amp;amp;D par Nind, ouverture DataRoom, focus sur impact fonds pour programme nucléaire UAE, scaling, partenariats newtech, Forward Investments (DEWA) évoqué. Prochaine étape : préDD, poursuite discussions tech/invest.</v>
      </c>
      <c r="J37" s="5" t="s">
        <v>155</v>
      </c>
      <c r="K37" s="6" t="s">
        <v>41</v>
      </c>
      <c r="L37" s="6" cm="1" t="str">
        <f t="array" ref="L37">IF(C37="","",IF(K37="Mort / Plus rien à faire","KO","OK"))</f>
        <v>OK</v>
      </c>
      <c r="M37" s="12">
        <v>46094.44092592593</v>
      </c>
      <c r="N37" s="12" cm="1" t="n">
        <f t="array" ref="N37">IF(OR(C37="",M37="",M37=0),"",M37)</f>
        <v>46094.44092592593</v>
      </c>
      <c r="O37" s="12">
</c>
      <c r="P37" s="12" cm="1" t="str">
        <f t="array" ref="P37">IF(C37="","",IF(OR(O37="",O37=0),"-",O37))</f>
        <v>-</v>
      </c>
      <c r="Q37" s="13">
        <v>0</v>
      </c>
      <c r="R37" s="9" cm="1" t="str">
        <f t="array" ref="R37">IF(C37="","",ROUND(Q37/1000000,3)&amp;" M€")</f>
        <v>0 M€</v>
      </c>
      <c r="S37" s="9" t="s">
        <v>142</v>
      </c>
      <c r="T37" s="9" cm="1" t="str">
        <f t="array" ref="T37">IF(C37="","",SUBSTITUTE(S37,"","")&amp;"%")</f>
        <v>0%</v>
      </c>
      <c r="U37" s="11" cm="1" t="str">
        <f t="array" ref="U37">IF(($N37="")*($P37=""),"",IF(($N37&lt;&gt;"")*($N37&gt;TODAY()-9)*($N37&lt;TODAY()+1)*($P37&lt;&gt;"")*($P37&gt;=TODAY())*($P37&lt;=TODAY()+13),"Semaine passée &amp; à venir",IF(($N37&lt;&gt;"")*($N37&gt;TODAY()-9)*($N37&lt;TODAY()+1),"Semaine passée",IF(($P37&lt;&gt;"")*($P37&gt;=TODAY())*($P37&lt;=TODAY()+13),"À venir","Autre"))))</f>
        <v>Autre</v>
      </c>
      <c r="V37" s="5" cm="1" t="n">
        <f t="array" ref="V37">IF(C37&lt;&gt;"",1,0)</f>
        <v>1</v>
      </c>
      <c r="W37" s="5">
</c>
      <c r="X37" s="5">
</c>
      <c r="Y37" s="5">
</c>
      <c r="Z37" s="5">
</c>
      <c r="AA37" s="5">
</c>
      <c r="AB37" s="5">
</c>
      <c r="AC37" s="5">
</c>
      <c r="AD37" s="5">
</c>
      <c r="AE37" s="5">
</c>
      <c r="AF37" s="5">
</c>
      <c r="AG37" s="5">
</c>
      <c r="AH37" s="5">
</c>
      <c r="AI37" s="5">
</c>
      <c r="AJ37" s="5">
</c>
    </row>
    <row r="38" ht="81" customHeight="1">
      <c r="A38" s="6" t="s">
        <v>23</v>
      </c>
      <c r="B38" s="6" t="s">
        <v>76</v>
      </c>
      <c r="C38" s="9" t="s">
        <v>156</v>
      </c>
      <c r="D38" s="9" t="s">
        <v>157</v>
      </c>
      <c r="E38" s="6" t="s">
        <v>34</v>
      </c>
      <c r="F38" s="5" t="s">
        <v>158</v>
      </c>
      <c r="G38" s="10" cm="1" t="str">
        <f t="array" ref="G38">IF(F38="","",SUBSTITUTE(SUBSTITUTE(SUBSTITUTE(SUBSTITUTE(F38,"&lt;li&gt;",CHAR(10)),"&lt;/li&gt;",""),"&lt;br&gt;",CHAR(10)),"&lt;strong&gt;",""))</f>
        <v>&lt;p&gt;RDV physique 13/03 avec DESJARDINS CAPITAL, présentation réalisée, feedback : sujet clôturé. Pas d'autres actions ou prochaines étapes mentionnées. Nouvelle piste créée pour l'équipe Ventes. Aucun suivi ou activité complémentaire enregistrée à ce jour.&lt;/p&gt;</v>
      </c>
      <c r="H38" s="10" cm="1" t="str">
        <f t="array" ref="H38">IF(G38="","",SUBSTITUTE(SUBSTITUTE(SUBSTITUTE(SUBSTITUTE(SUBSTITUTE(G38,"&lt;p&gt;",""),"&lt;/p&gt;",""),"&lt;ul&gt;",""),"&lt;/ul&gt;",""),"&lt;/strong&gt;",""))</f>
        <v>RDV physique 13/03 avec DESJARDINS CAPITAL, présentation réalisée, feedback : sujet clôturé. Pas d'autres actions ou prochaines étapes mentionnées. Nouvelle piste créée pour l'équipe Ventes. Aucun suivi ou activité complémentaire enregistrée à ce jour.</v>
      </c>
      <c r="I38" s="11" cm="1" t="str">
        <f t="array" ref="I38">IF(C38="","",IF(OR(H38="",H38=0,H38=FALSE),"-",H38))</f>
        <v>RDV physique 13/03 avec DESJARDINS CAPITAL, présentation réalisée, feedback : sujet clôturé. Pas d'autres actions ou prochaines étapes mentionnées. Nouvelle piste créée pour l'équipe Ventes. Aucun suivi ou activité complémentaire enregistrée à ce jour.</v>
      </c>
      <c r="J38" s="5">
</c>
      <c r="K38" s="6" t="s">
        <v>141</v>
      </c>
      <c r="L38" s="6" cm="1" t="str">
        <f t="array" ref="L38">IF(C38="","",IF(K38="Mort / Plus rien à faire","KO","OK"))</f>
        <v>KO</v>
      </c>
      <c r="M38" s="12">
        <v>46094.48496527778</v>
      </c>
      <c r="N38" s="12" cm="1" t="n">
        <f t="array" ref="N38">IF(OR(C38="",M38="",M38=0),"",M38)</f>
        <v>46094.48496527778</v>
      </c>
      <c r="O38" s="12">
</c>
      <c r="P38" s="12" cm="1" t="str">
        <f t="array" ref="P38">IF(C38="","",IF(OR(O38="",O38=0),"-",O38))</f>
        <v>-</v>
      </c>
      <c r="Q38" s="13">
        <v>0</v>
      </c>
      <c r="R38" s="9" cm="1" t="str">
        <f t="array" ref="R38">IF(C38="","",ROUND(Q38/1000000,3)&amp;" M€")</f>
        <v>0 M€</v>
      </c>
      <c r="S38" s="9" t="s">
        <v>142</v>
      </c>
      <c r="T38" s="9" cm="1" t="str">
        <f t="array" ref="T38">IF(C38="","",SUBSTITUTE(S38,"","")&amp;"%")</f>
        <v>0%</v>
      </c>
      <c r="U38" s="11" cm="1" t="str">
        <f t="array" ref="U38">IF(($N38="")*($P38=""),"",IF(($N38&lt;&gt;"")*($N38&gt;TODAY()-9)*($N38&lt;TODAY()+1)*($P38&lt;&gt;"")*($P38&gt;=TODAY())*($P38&lt;=TODAY()+13),"Semaine passée &amp; à venir",IF(($N38&lt;&gt;"")*($N38&gt;TODAY()-9)*($N38&lt;TODAY()+1),"Semaine passée",IF(($P38&lt;&gt;"")*($P38&gt;=TODAY())*($P38&lt;=TODAY()+13),"À venir","Autre"))))</f>
        <v>Autre</v>
      </c>
      <c r="V38" s="5" cm="1" t="n">
        <f t="array" ref="V38">IF(C38&lt;&gt;"",1,0)</f>
        <v>1</v>
      </c>
      <c r="W38" s="5">
</c>
      <c r="X38" s="5">
</c>
      <c r="Y38" s="5">
</c>
      <c r="Z38" s="5">
</c>
      <c r="AA38" s="5">
</c>
      <c r="AB38" s="5">
</c>
      <c r="AC38" s="5">
</c>
      <c r="AD38" s="5">
</c>
      <c r="AE38" s="5">
</c>
      <c r="AF38" s="5">
</c>
      <c r="AG38" s="5">
</c>
      <c r="AH38" s="5">
</c>
      <c r="AI38" s="5">
</c>
      <c r="AJ38" s="5">
</c>
    </row>
    <row r="39" ht="81" customHeight="1">
      <c r="A39" s="6" t="s">
        <v>23</v>
      </c>
      <c r="B39" s="6" t="s">
        <v>159</v>
      </c>
      <c r="C39" s="9" t="s">
        <v>160</v>
      </c>
      <c r="D39" s="9" t="s">
        <v>161</v>
      </c>
      <c r="E39" s="6" t="s">
        <v>34</v>
      </c>
      <c r="F39" s="5" t="s">
        <v>162</v>
      </c>
      <c r="G39" s="10" cm="1" t="str">
        <f t="array" ref="G39">IF(F39="","",SUBSTITUTE(SUBSTITUTE(SUBSTITUTE(SUBSTITUTE(F39,"&lt;li&gt;",CHAR(10)),"&lt;/li&gt;",""),"&lt;br&gt;",CHAR(10)),"&lt;strong&gt;",""))</f>
        <v>&lt;p&gt;Relance effectuée le 6 mars par Romain Andrieu. RDV présentation Exergon prévu le 3 décembre 2025. Dernière action notée : "Fait". Pas de retour prospect ni conclusion sur fonds. Prochaine étape : suivi post-RDV à planifier. Pas d'autres activités ou retours recensés.&lt;/p&gt;</v>
      </c>
      <c r="H39" s="10" cm="1" t="str">
        <f t="array" ref="H39">IF(G39="","",SUBSTITUTE(SUBSTITUTE(SUBSTITUTE(SUBSTITUTE(SUBSTITUTE(G39,"&lt;p&gt;",""),"&lt;/p&gt;",""),"&lt;ul&gt;",""),"&lt;/ul&gt;",""),"&lt;/strong&gt;",""))</f>
        <v>Relance effectuée le 6 mars par Romain Andrieu. RDV présentation Exergon prévu le 3 décembre 2025. Dernière action notée : "Fait". Pas de retour prospect ni conclusion sur fonds. Prochaine étape : suivi post-RDV à planifier. Pas d'autres activités ou retours recensés.</v>
      </c>
      <c r="I39" s="11" cm="1" t="str">
        <f t="array" ref="I39">IF(C39="","",IF(OR(H39="",H39=0,H39=FALSE),"-",H39))</f>
        <v>Relance effectuée le 6 mars par Romain Andrieu. RDV présentation Exergon prévu le 3 décembre 2025. Dernière action notée : "Fait". Pas de retour prospect ni conclusion sur fonds. Prochaine étape : suivi post-RDV à planifier. Pas d'autres activités ou retours recensés.</v>
      </c>
      <c r="J39" s="5" t="s">
        <v>163</v>
      </c>
      <c r="K39" s="6" t="s">
        <v>41</v>
      </c>
      <c r="L39" s="6" cm="1" t="str">
        <f t="array" ref="L39">IF(C39="","",IF(K39="Mort / Plus rien à faire","KO","OK"))</f>
        <v>OK</v>
      </c>
      <c r="M39" s="12">
        <v>45994.81638888889</v>
      </c>
      <c r="N39" s="12" cm="1" t="n">
        <f t="array" ref="N39">IF(OR(C39="",M39="",M39=0),"",M39)</f>
        <v>45994.81638888889</v>
      </c>
      <c r="O39" s="12">
</c>
      <c r="P39" s="12" cm="1" t="str">
        <f t="array" ref="P39">IF(C39="","",IF(OR(O39="",O39=0),"-",O39))</f>
        <v>-</v>
      </c>
      <c r="Q39" s="13">
        <v>0</v>
      </c>
      <c r="R39" s="9" cm="1" t="str">
        <f t="array" ref="R39">IF(C39="","",ROUND(Q39/1000000,3)&amp;" M€")</f>
        <v>0 M€</v>
      </c>
      <c r="S39" s="9" t="s">
        <v>142</v>
      </c>
      <c r="T39" s="9" cm="1" t="str">
        <f t="array" ref="T39">IF(C39="","",SUBSTITUTE(S39,"","")&amp;"%")</f>
        <v>0%</v>
      </c>
      <c r="U39" s="11" cm="1" t="str">
        <f t="array" ref="U39">IF(($N39="")*($P39=""),"",IF(($N39&lt;&gt;"")*($N39&gt;TODAY()-9)*($N39&lt;TODAY()+1)*($P39&lt;&gt;"")*($P39&gt;=TODAY())*($P39&lt;=TODAY()+13),"Semaine passée &amp; à venir",IF(($N39&lt;&gt;"")*($N39&gt;TODAY()-9)*($N39&lt;TODAY()+1),"Semaine passée",IF(($P39&lt;&gt;"")*($P39&gt;=TODAY())*($P39&lt;=TODAY()+13),"À venir","Autre"))))</f>
        <v>Autre</v>
      </c>
      <c r="V39" s="5" cm="1" t="n">
        <f t="array" ref="V39">IF(C39&lt;&gt;"",1,0)</f>
        <v>1</v>
      </c>
      <c r="W39" s="5">
</c>
      <c r="X39" s="5">
</c>
      <c r="Y39" s="5">
</c>
      <c r="Z39" s="5">
</c>
      <c r="AA39" s="5">
</c>
      <c r="AB39" s="5">
</c>
      <c r="AC39" s="5">
</c>
      <c r="AD39" s="5">
</c>
      <c r="AE39" s="5">
</c>
      <c r="AF39" s="5">
</c>
      <c r="AG39" s="5">
</c>
      <c r="AH39" s="5">
</c>
      <c r="AI39" s="5">
</c>
      <c r="AJ39" s="5">
</c>
    </row>
    <row r="40" ht="81" customHeight="1">
      <c r="A40" s="6" t="s">
        <v>164</v>
      </c>
      <c r="B40" s="6" t="s">
        <v>165</v>
      </c>
      <c r="C40" s="9" t="s">
        <v>166</v>
      </c>
      <c r="D40" s="9" t="s">
        <v>167</v>
      </c>
      <c r="E40" s="6" t="s">
        <v>168</v>
      </c>
      <c r="F40" s="5" t="s">
        <v>169</v>
      </c>
      <c r="G40" s="10" cm="1" t="str">
        <f t="array" ref="G40">IF(F40="","",SUBSTITUTE(SUBSTITUTE(SUBSTITUTE(SUBSTITUTE(F40,"&lt;li&gt;",CHAR(10)),"&lt;/li&gt;",""),"&lt;br&gt;",CHAR(10)),"&lt;strong&gt;",""))</f>
        <v>&lt;p&gt;03.03 prospection Allemagne pour Expansion &amp;amp; Calderion, intérêt confirmé. 10.03 visio Teams avec Lakshmi Viswanathan (UNDP), Calderion &amp;amp; Exergon : qualification UNDP, présentation fonds, échanges sur synergies, focus impact investing, climat, SDG, fonds GCF. Prochaines étapes : envoyer teasers Calderion/Exergon, contacter UN CDF/GCF.&lt;/p&gt;</v>
      </c>
      <c r="H40" s="10" cm="1" t="str">
        <f t="array" ref="H40">IF(G40="","",SUBSTITUTE(SUBSTITUTE(SUBSTITUTE(SUBSTITUTE(SUBSTITUTE(G40,"&lt;p&gt;",""),"&lt;/p&gt;",""),"&lt;ul&gt;",""),"&lt;/ul&gt;",""),"&lt;/strong&gt;",""))</f>
        <v>03.03 prospection Allemagne pour Expansion &amp;amp; Calderion, intérêt confirmé. 10.03 visio Teams avec Lakshmi Viswanathan (UNDP), Calderion &amp;amp; Exergon : qualification UNDP, présentation fonds, échanges sur synergies, focus impact investing, climat, SDG, fonds GCF. Prochaines étapes : envoyer teasers Calderion/Exergon, contacter UN CDF/GCF.</v>
      </c>
      <c r="I40" s="11" cm="1" t="str">
        <f t="array" ref="I40">IF(C40="","",IF(OR(H40="",H40=0,H40=FALSE),"-",H40))</f>
        <v>03.03 prospection Allemagne pour Expansion &amp;amp; Calderion, intérêt confirmé. 10.03 visio Teams avec Lakshmi Viswanathan (UNDP), Calderion &amp;amp; Exergon : qualification UNDP, présentation fonds, échanges sur synergies, focus impact investing, climat, SDG, fonds GCF. Prochaines étapes : envoyer teasers Calderion/Exergon, contacter UN CDF/GCF.</v>
      </c>
      <c r="J40" s="5">
</c>
      <c r="K40" s="6" t="s">
        <v>170</v>
      </c>
      <c r="L40" s="6" cm="1" t="str">
        <f t="array" ref="L40">IF(C40="","",IF(K40="Mort / Plus rien à faire","KO","OK"))</f>
        <v>OK</v>
      </c>
      <c r="M40" s="12">
        <v>46091.48451388889</v>
      </c>
      <c r="N40" s="12" cm="1" t="n">
        <f t="array" ref="N40">IF(OR(C40="",M40="",M40=0),"",M40)</f>
        <v>46091.48451388889</v>
      </c>
      <c r="O40" s="12">
</c>
      <c r="P40" s="12" cm="1" t="str">
        <f t="array" ref="P40">IF(C40="","",IF(OR(O40="",O40=0),"-",O40))</f>
        <v>-</v>
      </c>
      <c r="Q40" s="13">
        <v>0</v>
      </c>
      <c r="R40" s="9" cm="1" t="str">
        <f t="array" ref="R40">IF(C40="","",ROUND(Q40/1000000,3)&amp;" M€")</f>
        <v>0 M€</v>
      </c>
      <c r="S40" s="9" t="s">
        <v>142</v>
      </c>
      <c r="T40" s="9" cm="1" t="str">
        <f t="array" ref="T40">IF(C40="","",SUBSTITUTE(S40,"","")&amp;"%")</f>
        <v>0%</v>
      </c>
      <c r="U40" s="11" cm="1" t="str">
        <f t="array" ref="U40">IF(($N40="")*($P40=""),"",IF(($N40&lt;&gt;"")*($N40&gt;TODAY()-9)*($N40&lt;TODAY()+1)*($P40&lt;&gt;"")*($P40&gt;=TODAY())*($P40&lt;=TODAY()+13),"Semaine passée &amp; à venir",IF(($N40&lt;&gt;"")*($N40&gt;TODAY()-9)*($N40&lt;TODAY()+1),"Semaine passée",IF(($P40&lt;&gt;"")*($P40&gt;=TODAY())*($P40&lt;=TODAY()+13),"À venir","Autre"))))</f>
        <v>Autre</v>
      </c>
      <c r="V40" s="5" cm="1" t="n">
        <f t="array" ref="V40">IF(C40&lt;&gt;"",1,0)</f>
        <v>1</v>
      </c>
      <c r="W40" s="5">
</c>
      <c r="X40" s="5">
</c>
      <c r="Y40" s="5">
</c>
      <c r="Z40" s="5">
</c>
      <c r="AA40" s="5">
</c>
      <c r="AB40" s="5">
</c>
      <c r="AC40" s="5">
</c>
      <c r="AD40" s="5">
</c>
      <c r="AE40" s="5">
</c>
      <c r="AF40" s="5">
</c>
      <c r="AG40" s="5">
</c>
      <c r="AH40" s="5">
</c>
      <c r="AI40" s="5">
</c>
      <c r="AJ40" s="5">
</c>
    </row>
    <row r="41" ht="81" customHeight="1">
      <c r="A41" s="6" t="s">
        <v>23</v>
      </c>
      <c r="B41" s="6">
</c>
      <c r="C41" s="9" t="s">
        <v>171</v>
      </c>
      <c r="D41" s="9" t="s">
        <v>172</v>
      </c>
      <c r="E41" s="6" t="s">
        <v>34</v>
      </c>
      <c r="F41" s="5" t="s">
        <v>173</v>
      </c>
      <c r="G41" s="10" cm="1" t="str">
        <f t="array" ref="G41">IF(F41="","",SUBSTITUTE(SUBSTITUTE(SUBSTITUTE(SUBSTITUTE(F41,"&lt;li&gt;",CHAR(10)),"&lt;/li&gt;",""),"&lt;br&gt;",CHAR(10)),"&lt;strong&gt;",""))</f>
        <v>&lt;p&gt;Aucune activité menée sur le prospect. Un nouvelle piste a été créée pour l'équipe "Ventes". Aucun échange, action ou retour prospect enregistré à ce jour. Pas de suivi, pas de prochaine étape identifiée.&lt;/p&gt;</v>
      </c>
      <c r="H41" s="10" cm="1" t="str">
        <f t="array" ref="H41">IF(G41="","",SUBSTITUTE(SUBSTITUTE(SUBSTITUTE(SUBSTITUTE(SUBSTITUTE(G41,"&lt;p&gt;",""),"&lt;/p&gt;",""),"&lt;ul&gt;",""),"&lt;/ul&gt;",""),"&lt;/strong&gt;",""))</f>
        <v>Aucune activité menée sur le prospect. Un nouvelle piste a été créée pour l'équipe "Ventes". Aucun échange, action ou retour prospect enregistré à ce jour. Pas de suivi, pas de prochaine étape identifiée.</v>
      </c>
      <c r="I41" s="11" cm="1" t="str">
        <f t="array" ref="I41">IF(C41="","",IF(OR(H41="",H41=0,H41=FALSE),"-",H41))</f>
        <v>Aucune activité menée sur le prospect. Un nouvelle piste a été créée pour l'équipe "Ventes". Aucun échange, action ou retour prospect enregistré à ce jour. Pas de suivi, pas de prochaine étape identifiée.</v>
      </c>
      <c r="J41" s="5">
</c>
      <c r="K41" s="6" t="s">
        <v>41</v>
      </c>
      <c r="L41" s="6" cm="1" t="str">
        <f t="array" ref="L41">IF(C41="","",IF(K41="Mort / Plus rien à faire","KO","OK"))</f>
        <v>OK</v>
      </c>
      <c r="M41" s="12">
        <v>46091.4943287037</v>
      </c>
      <c r="N41" s="12" cm="1" t="n">
        <f t="array" ref="N41">IF(OR(C41="",M41="",M41=0),"",M41)</f>
        <v>46091.4943287037</v>
      </c>
      <c r="O41" s="12">
</c>
      <c r="P41" s="12" cm="1" t="str">
        <f t="array" ref="P41">IF(C41="","",IF(OR(O41="",O41=0),"-",O41))</f>
        <v>-</v>
      </c>
      <c r="Q41" s="13">
        <v>0</v>
      </c>
      <c r="R41" s="9" cm="1" t="str">
        <f t="array" ref="R41">IF(C41="","",ROUND(Q41/1000000,3)&amp;" M€")</f>
        <v>0 M€</v>
      </c>
      <c r="S41" s="9" t="s">
        <v>142</v>
      </c>
      <c r="T41" s="9" cm="1" t="str">
        <f t="array" ref="T41">IF(C41="","",SUBSTITUTE(S41,"","")&amp;"%")</f>
        <v>0%</v>
      </c>
      <c r="U41" s="11" cm="1" t="str">
        <f t="array" ref="U41">IF(($N41="")*($P41=""),"",IF(($N41&lt;&gt;"")*($N41&gt;TODAY()-9)*($N41&lt;TODAY()+1)*($P41&lt;&gt;"")*($P41&gt;=TODAY())*($P41&lt;=TODAY()+13),"Semaine passée &amp; à venir",IF(($N41&lt;&gt;"")*($N41&gt;TODAY()-9)*($N41&lt;TODAY()+1),"Semaine passée",IF(($P41&lt;&gt;"")*($P41&gt;=TODAY())*($P41&lt;=TODAY()+13),"À venir","Autre"))))</f>
        <v>Autre</v>
      </c>
      <c r="V41" s="5" cm="1" t="n">
        <f t="array" ref="V41">IF(C41&lt;&gt;"",1,0)</f>
        <v>1</v>
      </c>
      <c r="W41" s="5">
</c>
      <c r="X41" s="5">
</c>
      <c r="Y41" s="5">
</c>
      <c r="Z41" s="5">
</c>
      <c r="AA41" s="5">
</c>
      <c r="AB41" s="5">
</c>
      <c r="AC41" s="5">
</c>
      <c r="AD41" s="5">
</c>
      <c r="AE41" s="5">
</c>
      <c r="AF41" s="5">
</c>
      <c r="AG41" s="5">
</c>
      <c r="AH41" s="5">
</c>
      <c r="AI41" s="5">
</c>
      <c r="AJ41" s="5">
</c>
    </row>
    <row r="42" ht="81" customHeight="1">
      <c r="A42" s="6" t="s">
        <v>23</v>
      </c>
      <c r="B42" s="6" t="s">
        <v>37</v>
      </c>
      <c r="C42" s="9" t="s">
        <v>174</v>
      </c>
      <c r="D42" s="9" t="s">
        <v>175</v>
      </c>
      <c r="E42" s="6" t="s">
        <v>34</v>
      </c>
      <c r="F42" s="5" t="s">
        <v>176</v>
      </c>
      <c r="G42" s="10" cm="1" t="str">
        <f t="array" ref="G42">IF(F42="","",SUBSTITUTE(SUBSTITUTE(SUBSTITUTE(SUBSTITUTE(F42,"&lt;li&gt;",CHAR(10)),"&lt;/li&gt;",""),"&lt;br&gt;",CHAR(10)),"&lt;strong&gt;",""))</f>
        <v>&lt;p&gt;Leovic confirme : pas de PE defense, pas de VC. Aucun intérêt pour ces fonds exprimé par le prospect. Dernière activité le 13/04/2026. Pas de prochaines actions prévues à ce stade. Aucun retour ou demande complémentaire identifié dans les échanges récents.&lt;/p&gt;</v>
      </c>
      <c r="H42" s="10" cm="1" t="str">
        <f t="array" ref="H42">IF(G42="","",SUBSTITUTE(SUBSTITUTE(SUBSTITUTE(SUBSTITUTE(SUBSTITUTE(G42,"&lt;p&gt;",""),"&lt;/p&gt;",""),"&lt;ul&gt;",""),"&lt;/ul&gt;",""),"&lt;/strong&gt;",""))</f>
        <v>Leovic confirme : pas de PE defense, pas de VC. Aucun intérêt pour ces fonds exprimé par le prospect. Dernière activité le 13/04/2026. Pas de prochaines actions prévues à ce stade. Aucun retour ou demande complémentaire identifié dans les échanges récents.</v>
      </c>
      <c r="I42" s="11" cm="1" t="str">
        <f t="array" ref="I42">IF(C42="","",IF(OR(H42="",H42=0,H42=FALSE),"-",H42))</f>
        <v>Leovic confirme : pas de PE defense, pas de VC. Aucun intérêt pour ces fonds exprimé par le prospect. Dernière activité le 13/04/2026. Pas de prochaines actions prévues à ce stade. Aucun retour ou demande complémentaire identifié dans les échanges récents.</v>
      </c>
      <c r="J42" s="5" t="s">
        <v>177</v>
      </c>
      <c r="K42" s="6" t="s">
        <v>141</v>
      </c>
      <c r="L42" s="6" cm="1" t="str">
        <f t="array" ref="L42">IF(C42="","",IF(K42="Mort / Plus rien à faire","KO","OK"))</f>
        <v>KO</v>
      </c>
      <c r="M42" s="12">
        <v>46139.41275462963</v>
      </c>
      <c r="N42" s="12" cm="1" t="n">
        <f t="array" ref="N42">IF(OR(C42="",M42="",M42=0),"",M42)</f>
        <v>46139.41275462963</v>
      </c>
      <c r="O42" s="12">
        <v>46391.041666666664</v>
      </c>
      <c r="P42" s="12" cm="1" t="n">
        <f t="array" ref="P42">IF(C42="","",IF(OR(O42="",O42=0),"-",O42))</f>
        <v>46391.041666666664</v>
      </c>
      <c r="Q42" s="13">
        <v>0</v>
      </c>
      <c r="R42" s="9" cm="1" t="str">
        <f t="array" ref="R42">IF(C42="","",ROUND(Q42/1000000,3)&amp;" M€")</f>
        <v>0 M€</v>
      </c>
      <c r="S42" s="9" t="s">
        <v>142</v>
      </c>
      <c r="T42" s="9" cm="1" t="str">
        <f t="array" ref="T42">IF(C42="","",SUBSTITUTE(S42,"","")&amp;"%")</f>
        <v>0%</v>
      </c>
      <c r="U42" s="11" cm="1" t="str">
        <f t="array" ref="U42">IF(($N42="")*($P42=""),"",IF(($N42&lt;&gt;"")*($N42&gt;TODAY()-9)*($N42&lt;TODAY()+1)*($P42&lt;&gt;"")*($P42&gt;=TODAY())*($P42&lt;=TODAY()+13),"Semaine passée &amp; à venir",IF(($N42&lt;&gt;"")*($N42&gt;TODAY()-9)*($N42&lt;TODAY()+1),"Semaine passée",IF(($P42&lt;&gt;"")*($P42&gt;=TODAY())*($P42&lt;=TODAY()+13),"À venir","Autre"))))</f>
        <v>Semaine passée</v>
      </c>
      <c r="V42" s="5" cm="1" t="n">
        <f t="array" ref="V42">IF(C42&lt;&gt;"",1,0)</f>
        <v>1</v>
      </c>
      <c r="W42" s="5">
</c>
      <c r="X42" s="5">
</c>
      <c r="Y42" s="5">
</c>
      <c r="Z42" s="5">
</c>
      <c r="AA42" s="5">
</c>
      <c r="AB42" s="5">
</c>
      <c r="AC42" s="5">
</c>
      <c r="AD42" s="5">
</c>
      <c r="AE42" s="5">
</c>
      <c r="AF42" s="5">
</c>
      <c r="AG42" s="5">
</c>
      <c r="AH42" s="5">
</c>
      <c r="AI42" s="5">
</c>
      <c r="AJ42" s="5">
</c>
    </row>
    <row r="43" ht="81" customHeight="1">
      <c r="A43" s="6" t="s">
        <v>23</v>
      </c>
      <c r="B43" s="6" t="s">
        <v>76</v>
      </c>
      <c r="C43" s="9" t="s">
        <v>156</v>
      </c>
      <c r="D43" s="9" t="s">
        <v>157</v>
      </c>
      <c r="E43" s="6" t="s">
        <v>34</v>
      </c>
      <c r="F43" s="5" t="s">
        <v>178</v>
      </c>
      <c r="G43" s="10" cm="1" t="str">
        <f t="array" ref="G43">IF(F43="","",SUBSTITUTE(SUBSTITUTE(SUBSTITUTE(SUBSTITUTE(F43,"&lt;li&gt;",CHAR(10)),"&lt;/li&gt;",""),"&lt;br&gt;",CHAR(10)),"&lt;strong&gt;",""))</f>
        <v>&lt;p&gt;RDV physique 30/10/2026 terminé, LOI signée ARKEA AM, AUDACIA. Action clôturée, réflexion sur prorogation en déc 2026 à prévoir. Nouvelle piste créée pour équipe Ventes. Pas d'autres activités ou retours prospect sur fonds présentés. Prochaine étape&amp;nbsp;: décider prorogation en décembre.&lt;/p&gt;</v>
      </c>
      <c r="H43" s="10" cm="1" t="str">
        <f t="array" ref="H43">IF(G43="","",SUBSTITUTE(SUBSTITUTE(SUBSTITUTE(SUBSTITUTE(SUBSTITUTE(G43,"&lt;p&gt;",""),"&lt;/p&gt;",""),"&lt;ul&gt;",""),"&lt;/ul&gt;",""),"&lt;/strong&gt;",""))</f>
        <v>RDV physique 30/10/2026 terminé, LOI signée ARKEA AM, AUDACIA. Action clôturée, réflexion sur prorogation en déc 2026 à prévoir. Nouvelle piste créée pour équipe Ventes. Pas d'autres activités ou retours prospect sur fonds présentés. Prochaine étape&amp;nbsp;: décider prorogation en décembre.</v>
      </c>
      <c r="I43" s="11" cm="1" t="str">
        <f t="array" ref="I43">IF(C43="","",IF(OR(H43="",H43=0,H43=FALSE),"-",H43))</f>
        <v>RDV physique 30/10/2026 terminé, LOI signée ARKEA AM, AUDACIA. Action clôturée, réflexion sur prorogation en déc 2026 à prévoir. Nouvelle piste créée pour équipe Ventes. Pas d'autres activités ou retours prospect sur fonds présentés. Prochaine étape&amp;nbsp;: décider prorogation en décembre.</v>
      </c>
      <c r="J43" s="5">
</c>
      <c r="K43" s="6" t="s">
        <v>141</v>
      </c>
      <c r="L43" s="6" cm="1" t="str">
        <f t="array" ref="L43">IF(C43="","",IF(K43="Mort / Plus rien à faire","KO","OK"))</f>
        <v>KO</v>
      </c>
      <c r="M43" s="12">
        <v>46105.59798611111</v>
      </c>
      <c r="N43" s="12" cm="1" t="n">
        <f t="array" ref="N43">IF(OR(C43="",M43="",M43=0),"",M43)</f>
        <v>46105.59798611111</v>
      </c>
      <c r="O43" s="12">
        <v>46391.041666666664</v>
      </c>
      <c r="P43" s="12" cm="1" t="n">
        <f t="array" ref="P43">IF(C43="","",IF(OR(O43="",O43=0),"-",O43))</f>
        <v>46391.041666666664</v>
      </c>
      <c r="Q43" s="13">
        <v>0</v>
      </c>
      <c r="R43" s="9" cm="1" t="str">
        <f t="array" ref="R43">IF(C43="","",ROUND(Q43/1000000,3)&amp;" M€")</f>
        <v>0 M€</v>
      </c>
      <c r="S43" s="9" t="s">
        <v>142</v>
      </c>
      <c r="T43" s="9" cm="1" t="str">
        <f t="array" ref="T43">IF(C43="","",SUBSTITUTE(S43,"","")&amp;"%")</f>
        <v>0%</v>
      </c>
      <c r="U43" s="11" cm="1" t="str">
        <f t="array" ref="U43">IF(($N43="")*($P43=""),"",IF(($N43&lt;&gt;"")*($N43&gt;TODAY()-9)*($N43&lt;TODAY()+1)*($P43&lt;&gt;"")*($P43&gt;=TODAY())*($P43&lt;=TODAY()+13),"Semaine passée &amp; à venir",IF(($N43&lt;&gt;"")*($N43&gt;TODAY()-9)*($N43&lt;TODAY()+1),"Semaine passée",IF(($P43&lt;&gt;"")*($P43&gt;=TODAY())*($P43&lt;=TODAY()+13),"À venir","Autre"))))</f>
        <v>Autre</v>
      </c>
      <c r="V43" s="5" cm="1" t="n">
        <f t="array" ref="V43">IF(C43&lt;&gt;"",1,0)</f>
        <v>1</v>
      </c>
      <c r="W43" s="5">
</c>
      <c r="X43" s="5">
</c>
      <c r="Y43" s="5">
</c>
      <c r="Z43" s="5">
</c>
      <c r="AA43" s="5">
</c>
      <c r="AB43" s="5">
</c>
      <c r="AC43" s="5">
</c>
      <c r="AD43" s="5">
</c>
      <c r="AE43" s="5">
</c>
      <c r="AF43" s="5">
</c>
      <c r="AG43" s="5">
</c>
      <c r="AH43" s="5">
</c>
      <c r="AI43" s="5">
</c>
      <c r="AJ43" s="5">
</c>
    </row>
    <row r="44" ht="81" customHeight="1">
      <c r="A44" s="6" t="s">
        <v>23</v>
      </c>
      <c r="B44" s="6" t="s">
        <v>43</v>
      </c>
      <c r="C44" s="9" t="s">
        <v>179</v>
      </c>
      <c r="D44" s="9" t="s">
        <v>180</v>
      </c>
      <c r="E44" s="6" t="s">
        <v>34</v>
      </c>
      <c r="F44" s="5" t="s">
        <v>181</v>
      </c>
      <c r="G44" s="10" cm="1" t="str">
        <f t="array" ref="G44">IF(F44="","",SUBSTITUTE(SUBSTITUTE(SUBSTITUTE(SUBSTITUTE(F44,"&lt;li&gt;",CHAR(10)),"&lt;/li&gt;",""),"&lt;br&gt;",CHAR(10)),"&lt;strong&gt;",""))</f>
        <v>&lt;p&gt;Aucune activité menée sur le prospect. Nouvelle piste créée pour l'équipe Ventes, aucun échange ou action complémentaire enregistrée à ce jour, pas de retour ni d'étape suivante identifiée. Suivi à initier, aucune interaction ou feedback prospect recensé pour l'instant.&lt;/p&gt;</v>
      </c>
      <c r="H44" s="10" cm="1" t="str">
        <f t="array" ref="H44">IF(G44="","",SUBSTITUTE(SUBSTITUTE(SUBSTITUTE(SUBSTITUTE(SUBSTITUTE(G44,"&lt;p&gt;",""),"&lt;/p&gt;",""),"&lt;ul&gt;",""),"&lt;/ul&gt;",""),"&lt;/strong&gt;",""))</f>
        <v>Aucune activité menée sur le prospect. Nouvelle piste créée pour l'équipe Ventes, aucun échange ou action complémentaire enregistrée à ce jour, pas de retour ni d'étape suivante identifiée. Suivi à initier, aucune interaction ou feedback prospect recensé pour l'instant.</v>
      </c>
      <c r="I44" s="11" cm="1" t="str">
        <f t="array" ref="I44">IF(C44="","",IF(OR(H44="",H44=0,H44=FALSE),"-",H44))</f>
        <v>Aucune activité menée sur le prospect. Nouvelle piste créée pour l'équipe Ventes, aucun échange ou action complémentaire enregistrée à ce jour, pas de retour ni d'étape suivante identifiée. Suivi à initier, aucune interaction ou feedback prospect recensé pour l'instant.</v>
      </c>
      <c r="J44" s="5" t="s">
        <v>182</v>
      </c>
      <c r="K44" s="6" t="s">
        <v>41</v>
      </c>
      <c r="L44" s="6" cm="1" t="str">
        <f t="array" ref="L44">IF(C44="","",IF(K44="Mort / Plus rien à faire","KO","OK"))</f>
        <v>OK</v>
      </c>
      <c r="M44" s="12">
        <v>46127.352164351854</v>
      </c>
      <c r="N44" s="12" cm="1" t="n">
        <f t="array" ref="N44">IF(OR(C44="",M44="",M44=0),"",M44)</f>
        <v>46127.352164351854</v>
      </c>
      <c r="O44" s="12">
        <v>46170.083333333336</v>
      </c>
      <c r="P44" s="12" cm="1" t="n">
        <f t="array" ref="P44">IF(C44="","",IF(OR(O44="",O44=0),"-",O44))</f>
        <v>46170.083333333336</v>
      </c>
      <c r="Q44" s="13">
        <v>0</v>
      </c>
      <c r="R44" s="9" cm="1" t="str">
        <f t="array" ref="R44">IF(C44="","",ROUND(Q44/1000000,3)&amp;" M€")</f>
        <v>0 M€</v>
      </c>
      <c r="S44" s="9" t="s">
        <v>142</v>
      </c>
      <c r="T44" s="9" cm="1" t="str">
        <f t="array" ref="T44">IF(C44="","",SUBSTITUTE(S44,"","")&amp;"%")</f>
        <v>0%</v>
      </c>
      <c r="U44" s="11" cm="1" t="str">
        <f t="array" ref="U44">IF(($N44="")*($P44=""),"",IF(($N44&lt;&gt;"")*($N44&gt;TODAY()-9)*($N44&lt;TODAY()+1)*($P44&lt;&gt;"")*($P44&gt;=TODAY())*($P44&lt;=TODAY()+13),"Semaine passée &amp; à venir",IF(($N44&lt;&gt;"")*($N44&gt;TODAY()-9)*($N44&lt;TODAY()+1),"Semaine passée",IF(($P44&lt;&gt;"")*($P44&gt;=TODAY())*($P44&lt;=TODAY()+13),"À venir","Autre"))))</f>
        <v>Autre</v>
      </c>
      <c r="V44" s="5" cm="1" t="n">
        <f t="array" ref="V44">IF(C44&lt;&gt;"",1,0)</f>
        <v>1</v>
      </c>
      <c r="W44" s="5">
</c>
      <c r="X44" s="5">
</c>
      <c r="Y44" s="5">
</c>
      <c r="Z44" s="5">
</c>
      <c r="AA44" s="5">
</c>
      <c r="AB44" s="5">
</c>
      <c r="AC44" s="5">
</c>
      <c r="AD44" s="5">
</c>
      <c r="AE44" s="5">
</c>
      <c r="AF44" s="5">
</c>
      <c r="AG44" s="5">
</c>
      <c r="AH44" s="5">
</c>
      <c r="AI44" s="5">
</c>
      <c r="AJ44" s="5">
</c>
    </row>
    <row r="45" ht="81" customHeight="1">
      <c r="A45" s="6" t="s">
        <v>23</v>
      </c>
      <c r="B45" s="6" t="s">
        <v>84</v>
      </c>
      <c r="C45" s="9" t="s">
        <v>183</v>
      </c>
      <c r="D45" s="9" t="s">
        <v>184</v>
      </c>
      <c r="E45" s="6" t="s">
        <v>34</v>
      </c>
      <c r="F45" s="5" t="s">
        <v>185</v>
      </c>
      <c r="G45" s="10" cm="1" t="str">
        <f t="array" ref="G45">IF(F45="","",SUBSTITUTE(SUBSTITUTE(SUBSTITUTE(SUBSTITUTE(F45,"&lt;li&gt;",CHAR(10)),"&lt;/li&gt;",""),"&lt;br&gt;",CHAR(10)),"&lt;strong&gt;",""))</f>
        <v>&lt;p&gt;Aucune activité menée sur le prospect. Infos disponibles : Opportunité European Organization for Nuclear Research (CERN), grand laboratoire de physique des particules, plus de 2 500 employés, 12 000 scientifiques, connu pour le LHC. Aucune action, échange ou retour prospect enregistré à ce jour.&lt;/p&gt;</v>
      </c>
      <c r="H45" s="10" cm="1" t="str">
        <f t="array" ref="H45">IF(G45="","",SUBSTITUTE(SUBSTITUTE(SUBSTITUTE(SUBSTITUTE(SUBSTITUTE(G45,"&lt;p&gt;",""),"&lt;/p&gt;",""),"&lt;ul&gt;",""),"&lt;/ul&gt;",""),"&lt;/strong&gt;",""))</f>
        <v>Aucune activité menée sur le prospect. Infos disponibles : Opportunité European Organization for Nuclear Research (CERN), grand laboratoire de physique des particules, plus de 2 500 employés, 12 000 scientifiques, connu pour le LHC. Aucune action, échange ou retour prospect enregistré à ce jour.</v>
      </c>
      <c r="I45" s="11" cm="1" t="str">
        <f t="array" ref="I45">IF(C45="","",IF(OR(H45="",H45=0,H45=FALSE),"-",H45))</f>
        <v>Aucune activité menée sur le prospect. Infos disponibles : Opportunité European Organization for Nuclear Research (CERN), grand laboratoire de physique des particules, plus de 2 500 employés, 12 000 scientifiques, connu pour le LHC. Aucune action, échange ou retour prospect enregistré à ce jour.</v>
      </c>
      <c r="J45" s="5">
</c>
      <c r="K45" s="6" t="s">
        <v>41</v>
      </c>
      <c r="L45" s="6" cm="1" t="str">
        <f t="array" ref="L45">IF(C45="","",IF(K45="Mort / Plus rien à faire","KO","OK"))</f>
        <v>OK</v>
      </c>
      <c r="M45" s="12">
        <v>45999.77061342593</v>
      </c>
      <c r="N45" s="12" cm="1" t="n">
        <f t="array" ref="N45">IF(OR(C45="",M45="",M45=0),"",M45)</f>
        <v>45999.77061342593</v>
      </c>
      <c r="O45" s="12">
</c>
      <c r="P45" s="12" cm="1" t="str">
        <f t="array" ref="P45">IF(C45="","",IF(OR(O45="",O45=0),"-",O45))</f>
        <v>-</v>
      </c>
      <c r="Q45" s="13">
        <v>0</v>
      </c>
      <c r="R45" s="9" cm="1" t="str">
        <f t="array" ref="R45">IF(C45="","",ROUND(Q45/1000000,3)&amp;" M€")</f>
        <v>0 M€</v>
      </c>
      <c r="S45" s="9" t="s">
        <v>142</v>
      </c>
      <c r="T45" s="9" cm="1" t="str">
        <f t="array" ref="T45">IF(C45="","",SUBSTITUTE(S45,"","")&amp;"%")</f>
        <v>0%</v>
      </c>
      <c r="U45" s="11" cm="1" t="str">
        <f t="array" ref="U45">IF(($N45="")*($P45=""),"",IF(($N45&lt;&gt;"")*($N45&gt;TODAY()-9)*($N45&lt;TODAY()+1)*($P45&lt;&gt;"")*($P45&gt;=TODAY())*($P45&lt;=TODAY()+13),"Semaine passée &amp; à venir",IF(($N45&lt;&gt;"")*($N45&gt;TODAY()-9)*($N45&lt;TODAY()+1),"Semaine passée",IF(($P45&lt;&gt;"")*($P45&gt;=TODAY())*($P45&lt;=TODAY()+13),"À venir","Autre"))))</f>
        <v>Autre</v>
      </c>
      <c r="V45" s="5" cm="1" t="n">
        <f t="array" ref="V45">IF(C45&lt;&gt;"",1,0)</f>
        <v>1</v>
      </c>
      <c r="W45" s="5">
</c>
      <c r="X45" s="5">
</c>
      <c r="Y45" s="5">
</c>
      <c r="Z45" s="5">
</c>
      <c r="AA45" s="5">
</c>
      <c r="AB45" s="5">
</c>
      <c r="AC45" s="5">
</c>
      <c r="AD45" s="5">
</c>
      <c r="AE45" s="5">
</c>
      <c r="AF45" s="5">
</c>
      <c r="AG45" s="5">
</c>
      <c r="AH45" s="5">
</c>
      <c r="AI45" s="5">
</c>
      <c r="AJ45" s="5">
</c>
    </row>
    <row r="46" ht="81" customHeight="1">
      <c r="A46" s="6">
</c>
      <c r="B46" s="6">
</c>
      <c r="C46" s="9">
</c>
      <c r="D46" s="9">
</c>
      <c r="E46" s="6">
</c>
      <c r="F46" s="5">
</c>
      <c r="G46" s="10" cm="1" t="str">
        <f t="array" ref="G46">IF(F46="","",SUBSTITUTE(SUBSTITUTE(SUBSTITUTE(SUBSTITUTE(F46,"&lt;li&gt;",CHAR(10)),"&lt;/li&gt;",""),"&lt;br&gt;",CHAR(10)),"&lt;strong&gt;",""))</f>
        <v/>
      </c>
      <c r="H46" s="10" cm="1" t="str">
        <f t="array" ref="H46">IF(G46="","",SUBSTITUTE(SUBSTITUTE(SUBSTITUTE(SUBSTITUTE(SUBSTITUTE(G46,"&lt;p&gt;",""),"&lt;/p&gt;",""),"&lt;ul&gt;",""),"&lt;/ul&gt;",""),"&lt;/strong&gt;",""))</f>
        <v/>
      </c>
      <c r="I46" s="11" cm="1" t="str">
        <f t="array" ref="I46">IF(C46="","",IF(OR(H46="",H46=0,H46=FALSE),"-",H46))</f>
        <v/>
      </c>
      <c r="J46" s="5">
</c>
      <c r="K46" s="6">
</c>
      <c r="L46" s="6" cm="1" t="str">
        <f t="array" ref="L46">IF(C46="","",IF(K46="Mort / Plus rien à faire","KO","OK"))</f>
        <v/>
      </c>
      <c r="M46" s="12">
</c>
      <c r="N46" s="12" cm="1" t="str">
        <f t="array" ref="N46">IF(OR(C46="",M46="",M46=0),"",M46)</f>
        <v/>
      </c>
      <c r="O46" s="12">
</c>
      <c r="P46" s="12" cm="1" t="str">
        <f t="array" ref="P46">IF(C46="","",IF(OR(O46="",O46=0),"-",O46))</f>
        <v/>
      </c>
      <c r="Q46" s="13">
</c>
      <c r="R46" s="9" cm="1" t="str">
        <f t="array" ref="R46">IF(C46="","",ROUND(Q46/1000000,3)&amp;" M€")</f>
        <v/>
      </c>
      <c r="S46" s="9">
</c>
      <c r="T46" s="9" cm="1" t="str">
        <f t="array" ref="T46">IF(C46="","",SUBSTITUTE(S46,"","")&amp;"%")</f>
        <v/>
      </c>
      <c r="U46" s="11" cm="1" t="str">
        <f t="array" ref="U46">IF(($N46="")*($P46=""),"",IF(($N46&lt;&gt;"")*($N46&gt;TODAY()-9)*($N46&lt;TODAY()+1)*($P46&lt;&gt;"")*($P46&gt;=TODAY())*($P46&lt;=TODAY()+13),"Semaine passée &amp; à venir",IF(($N46&lt;&gt;"")*($N46&gt;TODAY()-9)*($N46&lt;TODAY()+1),"Semaine passée",IF(($P46&lt;&gt;"")*($P46&gt;=TODAY())*($P46&lt;=TODAY()+13),"À venir","Autre"))))</f>
        <v/>
      </c>
      <c r="V46" s="5" cm="1" t="n">
        <f t="array" ref="V46">IF(C46&lt;&gt;"",1,0)</f>
        <v>0</v>
      </c>
      <c r="W46" s="5">
</c>
      <c r="X46" s="5">
</c>
      <c r="Y46" s="5">
</c>
      <c r="Z46" s="5">
</c>
      <c r="AA46" s="5">
</c>
      <c r="AB46" s="5">
</c>
      <c r="AC46" s="5">
</c>
      <c r="AD46" s="5">
</c>
      <c r="AE46" s="5">
</c>
      <c r="AF46" s="5">
</c>
      <c r="AG46" s="5">
</c>
      <c r="AH46" s="5">
</c>
      <c r="AI46" s="5">
</c>
      <c r="AJ46" s="5">
</c>
    </row>
    <row r="47" ht="81" customHeight="1">
      <c r="A47" s="6">
</c>
      <c r="B47" s="6">
</c>
      <c r="C47" s="9">
</c>
      <c r="D47" s="9">
</c>
      <c r="E47" s="6">
</c>
      <c r="F47" s="5">
</c>
      <c r="G47" s="10" cm="1" t="str">
        <f t="array" ref="G47">IF(F47="","",SUBSTITUTE(SUBSTITUTE(SUBSTITUTE(SUBSTITUTE(F47,"&lt;li&gt;",CHAR(10)),"&lt;/li&gt;",""),"&lt;br&gt;",CHAR(10)),"&lt;strong&gt;",""))</f>
        <v/>
      </c>
      <c r="H47" s="10" cm="1" t="str">
        <f t="array" ref="H47">IF(G47="","",SUBSTITUTE(SUBSTITUTE(SUBSTITUTE(SUBSTITUTE(SUBSTITUTE(G47,"&lt;p&gt;",""),"&lt;/p&gt;",""),"&lt;ul&gt;",""),"&lt;/ul&gt;",""),"&lt;/strong&gt;",""))</f>
        <v/>
      </c>
      <c r="I47" s="11" cm="1" t="str">
        <f t="array" ref="I47">IF(C47="","",IF(OR(H47="",H47=0,H47=FALSE),"-",H47))</f>
        <v/>
      </c>
      <c r="J47" s="5">
</c>
      <c r="K47" s="6">
</c>
      <c r="L47" s="6" cm="1" t="str">
        <f t="array" ref="L47">IF(C47="","",IF(K47="Mort / Plus rien à faire","KO","OK"))</f>
        <v/>
      </c>
      <c r="M47" s="12">
</c>
      <c r="N47" s="12" cm="1" t="str">
        <f t="array" ref="N47">IF(OR(C47="",M47="",M47=0),"",M47)</f>
        <v/>
      </c>
      <c r="O47" s="12">
</c>
      <c r="P47" s="12" cm="1" t="str">
        <f t="array" ref="P47">IF(C47="","",IF(OR(O47="",O47=0),"-",O47))</f>
        <v/>
      </c>
      <c r="Q47" s="13">
</c>
      <c r="R47" s="9" cm="1" t="str">
        <f t="array" ref="R47">IF(C47="","",ROUND(Q47/1000000,3)&amp;" M€")</f>
        <v/>
      </c>
      <c r="S47" s="9">
</c>
      <c r="T47" s="9" cm="1" t="str">
        <f t="array" ref="T47">IF(C47="","",SUBSTITUTE(S47,"","")&amp;"%")</f>
        <v/>
      </c>
      <c r="U47" s="11" cm="1" t="str">
        <f t="array" ref="U47">IF(($N47="")*($P47=""),"",IF(($N47&lt;&gt;"")*($N47&gt;TODAY()-9)*($N47&lt;TODAY()+1)*($P47&lt;&gt;"")*($P47&gt;=TODAY())*($P47&lt;=TODAY()+13),"Semaine passée &amp; à venir",IF(($N47&lt;&gt;"")*($N47&gt;TODAY()-9)*($N47&lt;TODAY()+1),"Semaine passée",IF(($P47&lt;&gt;"")*($P47&gt;=TODAY())*($P47&lt;=TODAY()+13),"À venir","Autre"))))</f>
        <v/>
      </c>
      <c r="V47" s="5" cm="1" t="n">
        <f t="array" ref="V47">IF(C47&lt;&gt;"",1,0)</f>
        <v>0</v>
      </c>
      <c r="W47" s="5">
</c>
      <c r="X47" s="5">
</c>
      <c r="Y47" s="5">
</c>
      <c r="Z47" s="5">
</c>
      <c r="AA47" s="5">
</c>
      <c r="AB47" s="5">
</c>
      <c r="AC47" s="5">
</c>
      <c r="AD47" s="5">
</c>
      <c r="AE47" s="5">
</c>
      <c r="AF47" s="5">
</c>
      <c r="AG47" s="5">
</c>
      <c r="AH47" s="5">
</c>
      <c r="AI47" s="5">
</c>
      <c r="AJ47" s="5">
</c>
    </row>
    <row r="48" ht="81" customHeight="1">
      <c r="A48" s="6">
</c>
      <c r="B48" s="6">
</c>
      <c r="C48" s="9">
</c>
      <c r="D48" s="9">
</c>
      <c r="E48" s="6">
</c>
      <c r="F48" s="5">
</c>
      <c r="G48" s="10" cm="1" t="str">
        <f t="array" ref="G48">IF(F48="","",SUBSTITUTE(SUBSTITUTE(SUBSTITUTE(SUBSTITUTE(F48,"&lt;li&gt;",CHAR(10)),"&lt;/li&gt;",""),"&lt;br&gt;",CHAR(10)),"&lt;strong&gt;",""))</f>
        <v/>
      </c>
      <c r="H48" s="10" cm="1" t="str">
        <f t="array" ref="H48">IF(G48="","",SUBSTITUTE(SUBSTITUTE(SUBSTITUTE(SUBSTITUTE(SUBSTITUTE(G48,"&lt;p&gt;",""),"&lt;/p&gt;",""),"&lt;ul&gt;",""),"&lt;/ul&gt;",""),"&lt;/strong&gt;",""))</f>
        <v/>
      </c>
      <c r="I48" s="11" cm="1" t="str">
        <f t="array" ref="I48">IF(C48="","",IF(OR(H48="",H48=0,H48=FALSE),"-",H48))</f>
        <v/>
      </c>
      <c r="J48" s="5">
</c>
      <c r="K48" s="6">
</c>
      <c r="L48" s="6" cm="1" t="str">
        <f t="array" ref="L48">IF(C48="","",IF(K48="Mort / Plus rien à faire","KO","OK"))</f>
        <v/>
      </c>
      <c r="M48" s="12">
</c>
      <c r="N48" s="12" cm="1" t="str">
        <f t="array" ref="N48">IF(OR(C48="",M48="",M48=0),"",M48)</f>
        <v/>
      </c>
      <c r="O48" s="12">
</c>
      <c r="P48" s="12" cm="1" t="str">
        <f t="array" ref="P48">IF(C48="","",IF(OR(O48="",O48=0),"-",O48))</f>
        <v/>
      </c>
      <c r="Q48" s="13">
</c>
      <c r="R48" s="9" cm="1" t="str">
        <f t="array" ref="R48">IF(C48="","",ROUND(Q48/1000000,3)&amp;" M€")</f>
        <v/>
      </c>
      <c r="S48" s="9">
</c>
      <c r="T48" s="9" cm="1" t="str">
        <f t="array" ref="T48">IF(C48="","",SUBSTITUTE(S48,"","")&amp;"%")</f>
        <v/>
      </c>
      <c r="U48" s="11" cm="1" t="str">
        <f t="array" ref="U48">IF(($N48="")*($P48=""),"",IF(($N48&lt;&gt;"")*($N48&gt;TODAY()-9)*($N48&lt;TODAY()+1)*($P48&lt;&gt;"")*($P48&gt;=TODAY())*($P48&lt;=TODAY()+13),"Semaine passée &amp; à venir",IF(($N48&lt;&gt;"")*($N48&gt;TODAY()-9)*($N48&lt;TODAY()+1),"Semaine passée",IF(($P48&lt;&gt;"")*($P48&gt;=TODAY())*($P48&lt;=TODAY()+13),"À venir","Autre"))))</f>
        <v/>
      </c>
      <c r="V48" s="5" cm="1" t="n">
        <f t="array" ref="V48">IF(C48&lt;&gt;"",1,0)</f>
        <v>0</v>
      </c>
      <c r="W48" s="5">
</c>
      <c r="X48" s="5">
</c>
      <c r="Y48" s="5">
</c>
      <c r="Z48" s="5">
</c>
      <c r="AA48" s="5">
</c>
      <c r="AB48" s="5">
</c>
      <c r="AC48" s="5">
</c>
      <c r="AD48" s="5">
</c>
      <c r="AE48" s="5">
</c>
      <c r="AF48" s="5">
</c>
      <c r="AG48" s="5">
</c>
      <c r="AH48" s="5">
</c>
      <c r="AI48" s="5">
</c>
      <c r="AJ48" s="5">
</c>
    </row>
    <row r="49" ht="81" customHeight="1">
      <c r="A49" s="6">
</c>
      <c r="B49" s="6">
</c>
      <c r="C49" s="9">
</c>
      <c r="D49" s="9">
</c>
      <c r="E49" s="6">
</c>
      <c r="F49" s="5">
</c>
      <c r="G49" s="10" cm="1" t="str">
        <f t="array" ref="G49">IF(F49="","",SUBSTITUTE(SUBSTITUTE(SUBSTITUTE(SUBSTITUTE(F49,"&lt;li&gt;",CHAR(10)),"&lt;/li&gt;",""),"&lt;br&gt;",CHAR(10)),"&lt;strong&gt;",""))</f>
        <v/>
      </c>
      <c r="H49" s="10" cm="1" t="str">
        <f t="array" ref="H49">IF(G49="","",SUBSTITUTE(SUBSTITUTE(SUBSTITUTE(SUBSTITUTE(SUBSTITUTE(G49,"&lt;p&gt;",""),"&lt;/p&gt;",""),"&lt;ul&gt;",""),"&lt;/ul&gt;",""),"&lt;/strong&gt;",""))</f>
        <v/>
      </c>
      <c r="I49" s="11" cm="1" t="str">
        <f t="array" ref="I49">IF(C49="","",IF(OR(H49="",H49=0,H49=FALSE),"-",H49))</f>
        <v/>
      </c>
      <c r="J49" s="5">
</c>
      <c r="K49" s="6">
</c>
      <c r="L49" s="6" cm="1" t="str">
        <f t="array" ref="L49">IF(C49="","",IF(K49="Mort / Plus rien à faire","KO","OK"))</f>
        <v/>
      </c>
      <c r="M49" s="12">
</c>
      <c r="N49" s="12" cm="1" t="str">
        <f t="array" ref="N49">IF(OR(C49="",M49="",M49=0),"",M49)</f>
        <v/>
      </c>
      <c r="O49" s="12">
</c>
      <c r="P49" s="12" cm="1" t="str">
        <f t="array" ref="P49">IF(C49="","",IF(OR(O49="",O49=0),"-",O49))</f>
        <v/>
      </c>
      <c r="Q49" s="13">
</c>
      <c r="R49" s="9" cm="1" t="str">
        <f t="array" ref="R49">IF(C49="","",ROUND(Q49/1000000,3)&amp;" M€")</f>
        <v/>
      </c>
      <c r="S49" s="9">
</c>
      <c r="T49" s="9" cm="1" t="str">
        <f t="array" ref="T49">IF(C49="","",SUBSTITUTE(S49,"","")&amp;"%")</f>
        <v/>
      </c>
      <c r="U49" s="11" cm="1" t="str">
        <f t="array" ref="U49">IF(($N49="")*($P49=""),"",IF(($N49&lt;&gt;"")*($N49&gt;TODAY()-9)*($N49&lt;TODAY()+1)*($P49&lt;&gt;"")*($P49&gt;=TODAY())*($P49&lt;=TODAY()+13),"Semaine passée &amp; à venir",IF(($N49&lt;&gt;"")*($N49&gt;TODAY()-9)*($N49&lt;TODAY()+1),"Semaine passée",IF(($P49&lt;&gt;"")*($P49&gt;=TODAY())*($P49&lt;=TODAY()+13),"À venir","Autre"))))</f>
        <v/>
      </c>
      <c r="V49" s="5" cm="1" t="n">
        <f t="array" ref="V49">IF(C49&lt;&gt;"",1,0)</f>
        <v>0</v>
      </c>
      <c r="W49" s="5">
</c>
      <c r="X49" s="5">
</c>
      <c r="Y49" s="5">
</c>
      <c r="Z49" s="5">
</c>
      <c r="AA49" s="5">
</c>
      <c r="AB49" s="5">
</c>
      <c r="AC49" s="5">
</c>
      <c r="AD49" s="5">
</c>
      <c r="AE49" s="5">
</c>
      <c r="AF49" s="5">
</c>
      <c r="AG49" s="5">
</c>
      <c r="AH49" s="5">
</c>
      <c r="AI49" s="5">
</c>
      <c r="AJ49" s="5">
</c>
    </row>
    <row r="50" ht="81" customHeight="1">
      <c r="A50" s="6">
</c>
      <c r="B50" s="6">
</c>
      <c r="C50" s="9">
</c>
      <c r="D50" s="9">
</c>
      <c r="E50" s="6">
</c>
      <c r="F50" s="5">
</c>
      <c r="G50" s="10" cm="1" t="str">
        <f t="array" ref="G50">IF(F50="","",SUBSTITUTE(SUBSTITUTE(SUBSTITUTE(SUBSTITUTE(F50,"&lt;li&gt;",CHAR(10)),"&lt;/li&gt;",""),"&lt;br&gt;",CHAR(10)),"&lt;strong&gt;",""))</f>
        <v/>
      </c>
      <c r="H50" s="10" cm="1" t="str">
        <f t="array" ref="H50">IF(G50="","",SUBSTITUTE(SUBSTITUTE(SUBSTITUTE(SUBSTITUTE(SUBSTITUTE(G50,"&lt;p&gt;",""),"&lt;/p&gt;",""),"&lt;ul&gt;",""),"&lt;/ul&gt;",""),"&lt;/strong&gt;",""))</f>
        <v/>
      </c>
      <c r="I50" s="11" cm="1" t="str">
        <f t="array" ref="I50">IF(C50="","",IF(OR(H50="",H50=0,H50=FALSE),"-",H50))</f>
        <v/>
      </c>
      <c r="J50" s="5">
</c>
      <c r="K50" s="6">
</c>
      <c r="L50" s="6" cm="1" t="str">
        <f t="array" ref="L50">IF(C50="","",IF(K50="Mort / Plus rien à faire","KO","OK"))</f>
        <v/>
      </c>
      <c r="M50" s="12">
</c>
      <c r="N50" s="12" cm="1" t="str">
        <f t="array" ref="N50">IF(OR(C50="",M50="",M50=0),"",M50)</f>
        <v/>
      </c>
      <c r="O50" s="12">
</c>
      <c r="P50" s="12" cm="1" t="str">
        <f t="array" ref="P50">IF(C50="","",IF(OR(O50="",O50=0),"-",O50))</f>
        <v/>
      </c>
      <c r="Q50" s="13">
</c>
      <c r="R50" s="9" cm="1" t="str">
        <f t="array" ref="R50">IF(C50="","",ROUND(Q50/1000000,3)&amp;" M€")</f>
        <v/>
      </c>
      <c r="S50" s="9">
</c>
      <c r="T50" s="9" cm="1" t="str">
        <f t="array" ref="T50">IF(C50="","",SUBSTITUTE(S50,"","")&amp;"%")</f>
        <v/>
      </c>
      <c r="U50" s="11" cm="1" t="str">
        <f t="array" ref="U50">IF(($N50="")*($P50=""),"",IF(($N50&lt;&gt;"")*($N50&gt;TODAY()-9)*($N50&lt;TODAY()+1)*($P50&lt;&gt;"")*($P50&gt;=TODAY())*($P50&lt;=TODAY()+13),"Semaine passée &amp; à venir",IF(($N50&lt;&gt;"")*($N50&gt;TODAY()-9)*($N50&lt;TODAY()+1),"Semaine passée",IF(($P50&lt;&gt;"")*($P50&gt;=TODAY())*($P50&lt;=TODAY()+13),"À venir","Autre"))))</f>
        <v/>
      </c>
      <c r="V50" s="5" cm="1" t="n">
        <f t="array" ref="V50">IF(C50&lt;&gt;"",1,0)</f>
        <v>0</v>
      </c>
      <c r="W50" s="5">
</c>
      <c r="X50" s="5">
</c>
      <c r="Y50" s="5">
</c>
      <c r="Z50" s="5">
</c>
      <c r="AA50" s="5">
</c>
      <c r="AB50" s="5">
</c>
      <c r="AC50" s="5">
</c>
      <c r="AD50" s="5">
</c>
      <c r="AE50" s="5">
</c>
      <c r="AF50" s="5">
</c>
      <c r="AG50" s="5">
</c>
      <c r="AH50" s="5">
</c>
      <c r="AI50" s="5">
</c>
      <c r="AJ50" s="5">
</c>
    </row>
    <row r="51" ht="81" customHeight="1">
      <c r="A51" s="6">
</c>
      <c r="B51" s="6">
</c>
      <c r="C51" s="9">
</c>
      <c r="D51" s="9">
</c>
      <c r="E51" s="6">
</c>
      <c r="F51" s="5">
</c>
      <c r="G51" s="10" cm="1" t="str">
        <f t="array" ref="G51">IF(F51="","",SUBSTITUTE(SUBSTITUTE(SUBSTITUTE(SUBSTITUTE(F51,"&lt;li&gt;",CHAR(10)),"&lt;/li&gt;",""),"&lt;br&gt;",CHAR(10)),"&lt;strong&gt;",""))</f>
        <v/>
      </c>
      <c r="H51" s="10" cm="1" t="str">
        <f t="array" ref="H51">IF(G51="","",SUBSTITUTE(SUBSTITUTE(SUBSTITUTE(SUBSTITUTE(SUBSTITUTE(G51,"&lt;p&gt;",""),"&lt;/p&gt;",""),"&lt;ul&gt;",""),"&lt;/ul&gt;",""),"&lt;/strong&gt;",""))</f>
        <v/>
      </c>
      <c r="I51" s="11" cm="1" t="str">
        <f t="array" ref="I51">IF(C51="","",IF(OR(H51="",H51=0,H51=FALSE),"-",H51))</f>
        <v/>
      </c>
      <c r="J51" s="5">
</c>
      <c r="K51" s="6">
</c>
      <c r="L51" s="6" cm="1" t="str">
        <f t="array" ref="L51">IF(C51="","",IF(K51="Mort / Plus rien à faire","KO","OK"))</f>
        <v/>
      </c>
      <c r="M51" s="12">
</c>
      <c r="N51" s="12" cm="1" t="str">
        <f t="array" ref="N51">IF(OR(C51="",M51="",M51=0),"",M51)</f>
        <v/>
      </c>
      <c r="O51" s="12">
</c>
      <c r="P51" s="12" cm="1" t="str">
        <f t="array" ref="P51">IF(C51="","",IF(OR(O51="",O51=0),"-",O51))</f>
        <v/>
      </c>
      <c r="Q51" s="13">
</c>
      <c r="R51" s="9" cm="1" t="str">
        <f t="array" ref="R51">IF(C51="","",ROUND(Q51/1000000,3)&amp;" M€")</f>
        <v/>
      </c>
      <c r="S51" s="9">
</c>
      <c r="T51" s="9" cm="1" t="str">
        <f t="array" ref="T51">IF(C51="","",SUBSTITUTE(S51,"","")&amp;"%")</f>
        <v/>
      </c>
      <c r="U51" s="11" cm="1" t="str">
        <f t="array" ref="U51">IF(($N51="")*($P51=""),"",IF(($N51&lt;&gt;"")*($N51&gt;TODAY()-9)*($N51&lt;TODAY()+1)*($P51&lt;&gt;"")*($P51&gt;=TODAY())*($P51&lt;=TODAY()+13),"Semaine passée &amp; à venir",IF(($N51&lt;&gt;"")*($N51&gt;TODAY()-9)*($N51&lt;TODAY()+1),"Semaine passée",IF(($P51&lt;&gt;"")*($P51&gt;=TODAY())*($P51&lt;=TODAY()+13),"À venir","Autre"))))</f>
        <v/>
      </c>
      <c r="V51" s="5" cm="1" t="n">
        <f t="array" ref="V51">IF(C51&lt;&gt;"",1,0)</f>
        <v>0</v>
      </c>
      <c r="W51" s="5">
</c>
      <c r="X51" s="5">
</c>
      <c r="Y51" s="5">
</c>
      <c r="Z51" s="5">
</c>
      <c r="AA51" s="5">
</c>
      <c r="AB51" s="5">
</c>
      <c r="AC51" s="5">
</c>
      <c r="AD51" s="5">
</c>
      <c r="AE51" s="5">
</c>
      <c r="AF51" s="5">
</c>
      <c r="AG51" s="5">
</c>
      <c r="AH51" s="5">
</c>
      <c r="AI51" s="5">
</c>
      <c r="AJ51" s="5">
</c>
    </row>
    <row r="52" ht="81" customHeight="1">
      <c r="A52" s="6">
</c>
      <c r="B52" s="6">
</c>
      <c r="C52" s="9">
</c>
      <c r="D52" s="9">
</c>
      <c r="E52" s="6">
</c>
      <c r="F52" s="5">
</c>
      <c r="G52" s="10" cm="1" t="str">
        <f t="array" ref="G52">IF(F52="","",SUBSTITUTE(SUBSTITUTE(SUBSTITUTE(SUBSTITUTE(F52,"&lt;li&gt;",CHAR(10)),"&lt;/li&gt;",""),"&lt;br&gt;",CHAR(10)),"&lt;strong&gt;",""))</f>
        <v/>
      </c>
      <c r="H52" s="10" cm="1" t="str">
        <f t="array" ref="H52">IF(G52="","",SUBSTITUTE(SUBSTITUTE(SUBSTITUTE(SUBSTITUTE(SUBSTITUTE(G52,"&lt;p&gt;",""),"&lt;/p&gt;",""),"&lt;ul&gt;",""),"&lt;/ul&gt;",""),"&lt;/strong&gt;",""))</f>
        <v/>
      </c>
      <c r="I52" s="11" cm="1" t="str">
        <f t="array" ref="I52">IF(C52="","",IF(OR(H52="",H52=0,H52=FALSE),"-",H52))</f>
        <v/>
      </c>
      <c r="J52" s="5">
</c>
      <c r="K52" s="6">
</c>
      <c r="L52" s="6" cm="1" t="str">
        <f t="array" ref="L52">IF(C52="","",IF(K52="Mort / Plus rien à faire","KO","OK"))</f>
        <v/>
      </c>
      <c r="M52" s="12">
</c>
      <c r="N52" s="12" cm="1" t="str">
        <f t="array" ref="N52">IF(OR(C52="",M52="",M52=0),"",M52)</f>
        <v/>
      </c>
      <c r="O52" s="12">
</c>
      <c r="P52" s="12" cm="1" t="str">
        <f t="array" ref="P52">IF(C52="","",IF(OR(O52="",O52=0),"-",O52))</f>
        <v/>
      </c>
      <c r="Q52" s="13">
</c>
      <c r="R52" s="9" cm="1" t="str">
        <f t="array" ref="R52">IF(C52="","",ROUND(Q52/1000000,3)&amp;" M€")</f>
        <v/>
      </c>
      <c r="S52" s="9">
</c>
      <c r="T52" s="9" cm="1" t="str">
        <f t="array" ref="T52">IF(C52="","",SUBSTITUTE(S52,"","")&amp;"%")</f>
        <v/>
      </c>
      <c r="U52" s="11" cm="1" t="str">
        <f t="array" ref="U52">IF(($N52="")*($P52=""),"",IF(($N52&lt;&gt;"")*($N52&gt;TODAY()-9)*($N52&lt;TODAY()+1)*($P52&lt;&gt;"")*($P52&gt;=TODAY())*($P52&lt;=TODAY()+13),"Semaine passée &amp; à venir",IF(($N52&lt;&gt;"")*($N52&gt;TODAY()-9)*($N52&lt;TODAY()+1),"Semaine passée",IF(($P52&lt;&gt;"")*($P52&gt;=TODAY())*($P52&lt;=TODAY()+13),"À venir","Autre"))))</f>
        <v/>
      </c>
      <c r="V52" s="5" cm="1" t="n">
        <f t="array" ref="V52">IF(C52&lt;&gt;"",1,0)</f>
        <v>0</v>
      </c>
      <c r="W52" s="5">
</c>
      <c r="X52" s="5">
</c>
      <c r="Y52" s="5">
</c>
      <c r="Z52" s="5">
</c>
      <c r="AA52" s="5">
</c>
      <c r="AB52" s="5">
</c>
      <c r="AC52" s="5">
</c>
      <c r="AD52" s="5">
</c>
      <c r="AE52" s="5">
</c>
      <c r="AF52" s="5">
</c>
      <c r="AG52" s="5">
</c>
      <c r="AH52" s="5">
</c>
      <c r="AI52" s="5">
</c>
      <c r="AJ52" s="5">
</c>
    </row>
    <row r="53" ht="81" customHeight="1">
      <c r="A53" s="6">
</c>
      <c r="B53" s="6">
</c>
      <c r="C53" s="9">
</c>
      <c r="D53" s="9">
</c>
      <c r="E53" s="6">
</c>
      <c r="F53" s="5">
</c>
      <c r="G53" s="10" cm="1" t="str">
        <f t="array" ref="G53">IF(F53="","",SUBSTITUTE(SUBSTITUTE(SUBSTITUTE(SUBSTITUTE(F53,"&lt;li&gt;",CHAR(10)),"&lt;/li&gt;",""),"&lt;br&gt;",CHAR(10)),"&lt;strong&gt;",""))</f>
        <v/>
      </c>
      <c r="H53" s="10" cm="1" t="str">
        <f t="array" ref="H53">IF(G53="","",SUBSTITUTE(SUBSTITUTE(SUBSTITUTE(SUBSTITUTE(SUBSTITUTE(G53,"&lt;p&gt;",""),"&lt;/p&gt;",""),"&lt;ul&gt;",""),"&lt;/ul&gt;",""),"&lt;/strong&gt;",""))</f>
        <v/>
      </c>
      <c r="I53" s="11" cm="1" t="str">
        <f t="array" ref="I53">IF(C53="","",IF(OR(H53="",H53=0,H53=FALSE),"-",H53))</f>
        <v/>
      </c>
      <c r="J53" s="5">
</c>
      <c r="K53" s="6">
</c>
      <c r="L53" s="6" cm="1" t="str">
        <f t="array" ref="L53">IF(C53="","",IF(K53="Mort / Plus rien à faire","KO","OK"))</f>
        <v/>
      </c>
      <c r="M53" s="12">
</c>
      <c r="N53" s="12" cm="1" t="str">
        <f t="array" ref="N53">IF(OR(C53="",M53="",M53=0),"",M53)</f>
        <v/>
      </c>
      <c r="O53" s="12">
</c>
      <c r="P53" s="12" cm="1" t="str">
        <f t="array" ref="P53">IF(C53="","",IF(OR(O53="",O53=0),"-",O53))</f>
        <v/>
      </c>
      <c r="Q53" s="13">
</c>
      <c r="R53" s="9" cm="1" t="str">
        <f t="array" ref="R53">IF(C53="","",ROUND(Q53/1000000,3)&amp;" M€")</f>
        <v/>
      </c>
      <c r="S53" s="9">
</c>
      <c r="T53" s="9" cm="1" t="str">
        <f t="array" ref="T53">IF(C53="","",SUBSTITUTE(S53,"","")&amp;"%")</f>
        <v/>
      </c>
      <c r="U53" s="11" cm="1" t="str">
        <f t="array" ref="U53">IF(($N53="")*($P53=""),"",IF(($N53&lt;&gt;"")*($N53&gt;TODAY()-9)*($N53&lt;TODAY()+1)*($P53&lt;&gt;"")*($P53&gt;=TODAY())*($P53&lt;=TODAY()+13),"Semaine passée &amp; à venir",IF(($N53&lt;&gt;"")*($N53&gt;TODAY()-9)*($N53&lt;TODAY()+1),"Semaine passée",IF(($P53&lt;&gt;"")*($P53&gt;=TODAY())*($P53&lt;=TODAY()+13),"À venir","Autre"))))</f>
        <v/>
      </c>
      <c r="V53" s="5" cm="1" t="n">
        <f t="array" ref="V53">IF(C53&lt;&gt;"",1,0)</f>
        <v>0</v>
      </c>
      <c r="W53" s="5">
</c>
      <c r="X53" s="5">
</c>
      <c r="Y53" s="5">
</c>
      <c r="Z53" s="5">
</c>
      <c r="AA53" s="5">
</c>
      <c r="AB53" s="5">
</c>
      <c r="AC53" s="5">
</c>
      <c r="AD53" s="5">
</c>
      <c r="AE53" s="5">
</c>
      <c r="AF53" s="5">
</c>
      <c r="AG53" s="5">
</c>
      <c r="AH53" s="5">
</c>
      <c r="AI53" s="5">
</c>
      <c r="AJ53" s="5">
</c>
    </row>
    <row r="54" ht="81" customHeight="1">
      <c r="A54" s="6">
</c>
      <c r="B54" s="6">
</c>
      <c r="C54" s="9">
</c>
      <c r="D54" s="9">
</c>
      <c r="E54" s="6">
</c>
      <c r="F54" s="5">
</c>
      <c r="G54" s="10" cm="1" t="str">
        <f t="array" ref="G54">IF(F54="","",SUBSTITUTE(SUBSTITUTE(SUBSTITUTE(SUBSTITUTE(F54,"&lt;li&gt;",CHAR(10)),"&lt;/li&gt;",""),"&lt;br&gt;",CHAR(10)),"&lt;strong&gt;",""))</f>
        <v/>
      </c>
      <c r="H54" s="10" cm="1" t="str">
        <f t="array" ref="H54">IF(G54="","",SUBSTITUTE(SUBSTITUTE(SUBSTITUTE(SUBSTITUTE(SUBSTITUTE(G54,"&lt;p&gt;",""),"&lt;/p&gt;",""),"&lt;ul&gt;",""),"&lt;/ul&gt;",""),"&lt;/strong&gt;",""))</f>
        <v/>
      </c>
      <c r="I54" s="11" cm="1" t="str">
        <f t="array" ref="I54">IF(C54="","",IF(OR(H54="",H54=0,H54=FALSE),"-",H54))</f>
        <v/>
      </c>
      <c r="J54" s="5">
</c>
      <c r="K54" s="6">
</c>
      <c r="L54" s="6" cm="1" t="str">
        <f t="array" ref="L54">IF(C54="","",IF(K54="Mort / Plus rien à faire","KO","OK"))</f>
        <v/>
      </c>
      <c r="M54" s="12">
</c>
      <c r="N54" s="12" cm="1" t="str">
        <f t="array" ref="N54">IF(OR(C54="",M54="",M54=0),"",M54)</f>
        <v/>
      </c>
      <c r="O54" s="12">
</c>
      <c r="P54" s="12" cm="1" t="str">
        <f t="array" ref="P54">IF(C54="","",IF(OR(O54="",O54=0),"-",O54))</f>
        <v/>
      </c>
      <c r="Q54" s="13">
</c>
      <c r="R54" s="9" cm="1" t="str">
        <f t="array" ref="R54">IF(C54="","",ROUND(Q54/1000000,3)&amp;" M€")</f>
        <v/>
      </c>
      <c r="S54" s="9">
</c>
      <c r="T54" s="9" cm="1" t="str">
        <f t="array" ref="T54">IF(C54="","",SUBSTITUTE(S54,"","")&amp;"%")</f>
        <v/>
      </c>
      <c r="U54" s="11" cm="1" t="str">
        <f t="array" ref="U54">IF(($N54="")*($P54=""),"",IF(($N54&lt;&gt;"")*($N54&gt;TODAY()-9)*($N54&lt;TODAY()+1)*($P54&lt;&gt;"")*($P54&gt;=TODAY())*($P54&lt;=TODAY()+13),"Semaine passée &amp; à venir",IF(($N54&lt;&gt;"")*($N54&gt;TODAY()-9)*($N54&lt;TODAY()+1),"Semaine passée",IF(($P54&lt;&gt;"")*($P54&gt;=TODAY())*($P54&lt;=TODAY()+13),"À venir","Autre"))))</f>
        <v/>
      </c>
      <c r="V54" s="5" cm="1" t="n">
        <f t="array" ref="V54">IF(C54&lt;&gt;"",1,0)</f>
        <v>0</v>
      </c>
      <c r="W54" s="5">
</c>
      <c r="X54" s="5">
</c>
      <c r="Y54" s="5">
</c>
      <c r="Z54" s="5">
</c>
      <c r="AA54" s="5">
</c>
      <c r="AB54" s="5">
</c>
      <c r="AC54" s="5">
</c>
      <c r="AD54" s="5">
</c>
      <c r="AE54" s="5">
</c>
      <c r="AF54" s="5">
</c>
      <c r="AG54" s="5">
</c>
      <c r="AH54" s="5">
</c>
      <c r="AI54" s="5">
</c>
      <c r="AJ54" s="5">
</c>
    </row>
    <row r="55" ht="81" customHeight="1">
      <c r="A55" s="6">
</c>
      <c r="B55" s="6">
</c>
      <c r="C55" s="9">
</c>
      <c r="D55" s="9">
</c>
      <c r="E55" s="6">
</c>
      <c r="F55" s="5">
</c>
      <c r="G55" s="10" cm="1" t="str">
        <f t="array" ref="G55">IF(F55="","",SUBSTITUTE(SUBSTITUTE(SUBSTITUTE(SUBSTITUTE(F55,"&lt;li&gt;",CHAR(10)),"&lt;/li&gt;",""),"&lt;br&gt;",CHAR(10)),"&lt;strong&gt;",""))</f>
        <v/>
      </c>
      <c r="H55" s="10" cm="1" t="str">
        <f t="array" ref="H55">IF(G55="","",SUBSTITUTE(SUBSTITUTE(SUBSTITUTE(SUBSTITUTE(SUBSTITUTE(G55,"&lt;p&gt;",""),"&lt;/p&gt;",""),"&lt;ul&gt;",""),"&lt;/ul&gt;",""),"&lt;/strong&gt;",""))</f>
        <v/>
      </c>
      <c r="I55" s="11" cm="1" t="str">
        <f t="array" ref="I55">IF(C55="","",IF(OR(H55="",H55=0,H55=FALSE),"-",H55))</f>
        <v/>
      </c>
      <c r="J55" s="5">
</c>
      <c r="K55" s="6">
</c>
      <c r="L55" s="6" cm="1" t="str">
        <f t="array" ref="L55">IF(C55="","",IF(K55="Mort / Plus rien à faire","KO","OK"))</f>
        <v/>
      </c>
      <c r="M55" s="12">
</c>
      <c r="N55" s="12" cm="1" t="str">
        <f t="array" ref="N55">IF(OR(C55="",M55="",M55=0),"",M55)</f>
        <v/>
      </c>
      <c r="O55" s="12">
</c>
      <c r="P55" s="12" cm="1" t="str">
        <f t="array" ref="P55">IF(C55="","",IF(OR(O55="",O55=0),"-",O55))</f>
        <v/>
      </c>
      <c r="Q55" s="13">
</c>
      <c r="R55" s="9" cm="1" t="str">
        <f t="array" ref="R55">IF(C55="","",ROUND(Q55/1000000,3)&amp;" M€")</f>
        <v/>
      </c>
      <c r="S55" s="9">
</c>
      <c r="T55" s="9" cm="1" t="str">
        <f t="array" ref="T55">IF(C55="","",SUBSTITUTE(S55,"","")&amp;"%")</f>
        <v/>
      </c>
      <c r="U55" s="11" cm="1" t="str">
        <f t="array" ref="U55">IF(($N55="")*($P55=""),"",IF(($N55&lt;&gt;"")*($N55&gt;TODAY()-9)*($N55&lt;TODAY()+1)*($P55&lt;&gt;"")*($P55&gt;=TODAY())*($P55&lt;=TODAY()+13),"Semaine passée &amp; à venir",IF(($N55&lt;&gt;"")*($N55&gt;TODAY()-9)*($N55&lt;TODAY()+1),"Semaine passée",IF(($P55&lt;&gt;"")*($P55&gt;=TODAY())*($P55&lt;=TODAY()+13),"À venir","Autre"))))</f>
        <v/>
      </c>
      <c r="V55" s="5" cm="1" t="n">
        <f t="array" ref="V55">IF(C55&lt;&gt;"",1,0)</f>
        <v>0</v>
      </c>
      <c r="W55" s="5">
</c>
      <c r="X55" s="5">
</c>
      <c r="Y55" s="5">
</c>
      <c r="Z55" s="5">
</c>
      <c r="AA55" s="5">
</c>
      <c r="AB55" s="5">
</c>
      <c r="AC55" s="5">
</c>
      <c r="AD55" s="5">
</c>
      <c r="AE55" s="5">
</c>
      <c r="AF55" s="5">
</c>
      <c r="AG55" s="5">
</c>
      <c r="AH55" s="5">
</c>
      <c r="AI55" s="5">
</c>
      <c r="AJ55" s="5">
</c>
    </row>
    <row r="56" ht="81" customHeight="1">
      <c r="A56" s="6">
</c>
      <c r="B56" s="6">
</c>
      <c r="C56" s="9">
</c>
      <c r="D56" s="9">
</c>
      <c r="E56" s="6">
</c>
      <c r="F56" s="5">
</c>
      <c r="G56" s="10" cm="1" t="str">
        <f t="array" ref="G56">IF(F56="","",SUBSTITUTE(SUBSTITUTE(SUBSTITUTE(SUBSTITUTE(F56,"&lt;li&gt;",CHAR(10)),"&lt;/li&gt;",""),"&lt;br&gt;",CHAR(10)),"&lt;strong&gt;",""))</f>
        <v/>
      </c>
      <c r="H56" s="10" cm="1" t="str">
        <f t="array" ref="H56">IF(G56="","",SUBSTITUTE(SUBSTITUTE(SUBSTITUTE(SUBSTITUTE(SUBSTITUTE(G56,"&lt;p&gt;",""),"&lt;/p&gt;",""),"&lt;ul&gt;",""),"&lt;/ul&gt;",""),"&lt;/strong&gt;",""))</f>
        <v/>
      </c>
      <c r="I56" s="11" cm="1" t="str">
        <f t="array" ref="I56">IF(C56="","",IF(OR(H56="",H56=0,H56=FALSE),"-",H56))</f>
        <v/>
      </c>
      <c r="J56" s="5">
</c>
      <c r="K56" s="6">
</c>
      <c r="L56" s="6" cm="1" t="str">
        <f t="array" ref="L56">IF(C56="","",IF(K56="Mort / Plus rien à faire","KO","OK"))</f>
        <v/>
      </c>
      <c r="M56" s="12">
</c>
      <c r="N56" s="12" cm="1" t="str">
        <f t="array" ref="N56">IF(OR(C56="",M56="",M56=0),"",M56)</f>
        <v/>
      </c>
      <c r="O56" s="12">
</c>
      <c r="P56" s="12" cm="1" t="str">
        <f t="array" ref="P56">IF(C56="","",IF(OR(O56="",O56=0),"-",O56))</f>
        <v/>
      </c>
      <c r="Q56" s="13">
</c>
      <c r="R56" s="9" cm="1" t="str">
        <f t="array" ref="R56">IF(C56="","",ROUND(Q56/1000000,3)&amp;" M€")</f>
        <v/>
      </c>
      <c r="S56" s="9">
</c>
      <c r="T56" s="9" cm="1" t="str">
        <f t="array" ref="T56">IF(C56="","",SUBSTITUTE(S56,"","")&amp;"%")</f>
        <v/>
      </c>
      <c r="U56" s="11" cm="1" t="str">
        <f t="array" ref="U56">IF(($N56="")*($P56=""),"",IF(($N56&lt;&gt;"")*($N56&gt;TODAY()-9)*($N56&lt;TODAY()+1)*($P56&lt;&gt;"")*($P56&gt;=TODAY())*($P56&lt;=TODAY()+13),"Semaine passée &amp; à venir",IF(($N56&lt;&gt;"")*($N56&gt;TODAY()-9)*($N56&lt;TODAY()+1),"Semaine passée",IF(($P56&lt;&gt;"")*($P56&gt;=TODAY())*($P56&lt;=TODAY()+13),"À venir","Autre"))))</f>
        <v/>
      </c>
      <c r="V56" s="5" cm="1" t="n">
        <f t="array" ref="V56">IF(C56&lt;&gt;"",1,0)</f>
        <v>0</v>
      </c>
      <c r="W56" s="5">
</c>
      <c r="X56" s="5">
</c>
      <c r="Y56" s="5">
</c>
      <c r="Z56" s="5">
</c>
      <c r="AA56" s="5">
</c>
      <c r="AB56" s="5">
</c>
      <c r="AC56" s="5">
</c>
      <c r="AD56" s="5">
</c>
      <c r="AE56" s="5">
</c>
      <c r="AF56" s="5">
</c>
      <c r="AG56" s="5">
</c>
      <c r="AH56" s="5">
</c>
      <c r="AI56" s="5">
</c>
      <c r="AJ56" s="5">
</c>
    </row>
    <row r="57" ht="81" customHeight="1">
      <c r="A57" s="6">
</c>
      <c r="B57" s="6">
</c>
      <c r="C57" s="9">
</c>
      <c r="D57" s="9">
</c>
      <c r="E57" s="6">
</c>
      <c r="F57" s="5">
</c>
      <c r="G57" s="10" cm="1" t="str">
        <f t="array" ref="G57">IF(F57="","",SUBSTITUTE(SUBSTITUTE(SUBSTITUTE(SUBSTITUTE(F57,"&lt;li&gt;",CHAR(10)),"&lt;/li&gt;",""),"&lt;br&gt;",CHAR(10)),"&lt;strong&gt;",""))</f>
        <v/>
      </c>
      <c r="H57" s="10" cm="1" t="str">
        <f t="array" ref="H57">IF(G57="","",SUBSTITUTE(SUBSTITUTE(SUBSTITUTE(SUBSTITUTE(SUBSTITUTE(G57,"&lt;p&gt;",""),"&lt;/p&gt;",""),"&lt;ul&gt;",""),"&lt;/ul&gt;",""),"&lt;/strong&gt;",""))</f>
        <v/>
      </c>
      <c r="I57" s="11" cm="1" t="str">
        <f t="array" ref="I57">IF(C57="","",IF(OR(H57="",H57=0,H57=FALSE),"-",H57))</f>
        <v/>
      </c>
      <c r="J57" s="5">
</c>
      <c r="K57" s="6">
</c>
      <c r="L57" s="6" cm="1" t="str">
        <f t="array" ref="L57">IF(C57="","",IF(K57="Mort / Plus rien à faire","KO","OK"))</f>
        <v/>
      </c>
      <c r="M57" s="12">
</c>
      <c r="N57" s="12" cm="1" t="str">
        <f t="array" ref="N57">IF(OR(C57="",M57="",M57=0),"",M57)</f>
        <v/>
      </c>
      <c r="O57" s="12">
</c>
      <c r="P57" s="12" cm="1" t="str">
        <f t="array" ref="P57">IF(C57="","",IF(OR(O57="",O57=0),"-",O57))</f>
        <v/>
      </c>
      <c r="Q57" s="13">
</c>
      <c r="R57" s="9" cm="1" t="str">
        <f t="array" ref="R57">IF(C57="","",ROUND(Q57/1000000,3)&amp;" M€")</f>
        <v/>
      </c>
      <c r="S57" s="9">
</c>
      <c r="T57" s="9" cm="1" t="str">
        <f t="array" ref="T57">IF(C57="","",SUBSTITUTE(S57,"","")&amp;"%")</f>
        <v/>
      </c>
      <c r="U57" s="11" cm="1" t="str">
        <f t="array" ref="U57">IF(($N57="")*($P57=""),"",IF(($N57&lt;&gt;"")*($N57&gt;TODAY()-9)*($N57&lt;TODAY()+1)*($P57&lt;&gt;"")*($P57&gt;=TODAY())*($P57&lt;=TODAY()+13),"Semaine passée &amp; à venir",IF(($N57&lt;&gt;"")*($N57&gt;TODAY()-9)*($N57&lt;TODAY()+1),"Semaine passée",IF(($P57&lt;&gt;"")*($P57&gt;=TODAY())*($P57&lt;=TODAY()+13),"À venir","Autre"))))</f>
        <v/>
      </c>
      <c r="V57" s="5" cm="1" t="n">
        <f t="array" ref="V57">IF(C57&lt;&gt;"",1,0)</f>
        <v>0</v>
      </c>
      <c r="W57" s="5">
</c>
      <c r="X57" s="5">
</c>
      <c r="Y57" s="5">
</c>
      <c r="Z57" s="5">
</c>
      <c r="AA57" s="5">
</c>
      <c r="AB57" s="5">
</c>
      <c r="AC57" s="5">
</c>
      <c r="AD57" s="5">
</c>
      <c r="AE57" s="5">
</c>
      <c r="AF57" s="5">
</c>
      <c r="AG57" s="5">
</c>
      <c r="AH57" s="5">
</c>
      <c r="AI57" s="5">
</c>
      <c r="AJ57" s="5">
</c>
    </row>
    <row r="58" ht="81" customHeight="1">
      <c r="A58" s="6">
</c>
      <c r="B58" s="6">
</c>
      <c r="C58" s="9">
</c>
      <c r="D58" s="9">
</c>
      <c r="E58" s="6">
</c>
      <c r="F58" s="5">
</c>
      <c r="G58" s="10" cm="1" t="str">
        <f t="array" ref="G58">IF(F58="","",SUBSTITUTE(SUBSTITUTE(SUBSTITUTE(SUBSTITUTE(F58,"&lt;li&gt;",CHAR(10)),"&lt;/li&gt;",""),"&lt;br&gt;",CHAR(10)),"&lt;strong&gt;",""))</f>
        <v/>
      </c>
      <c r="H58" s="10" cm="1" t="str">
        <f t="array" ref="H58">IF(G58="","",SUBSTITUTE(SUBSTITUTE(SUBSTITUTE(SUBSTITUTE(SUBSTITUTE(G58,"&lt;p&gt;",""),"&lt;/p&gt;",""),"&lt;ul&gt;",""),"&lt;/ul&gt;",""),"&lt;/strong&gt;",""))</f>
        <v/>
      </c>
      <c r="I58" s="11" cm="1" t="str">
        <f t="array" ref="I58">IF(C58="","",IF(OR(H58="",H58=0,H58=FALSE),"-",H58))</f>
        <v/>
      </c>
      <c r="J58" s="5">
</c>
      <c r="K58" s="6">
</c>
      <c r="L58" s="6" cm="1" t="str">
        <f t="array" ref="L58">IF(C58="","",IF(K58="Mort / Plus rien à faire","KO","OK"))</f>
        <v/>
      </c>
      <c r="M58" s="12">
</c>
      <c r="N58" s="12" cm="1" t="str">
        <f t="array" ref="N58">IF(OR(C58="",M58="",M58=0),"",M58)</f>
        <v/>
      </c>
      <c r="O58" s="12">
</c>
      <c r="P58" s="12" cm="1" t="str">
        <f t="array" ref="P58">IF(C58="","",IF(OR(O58="",O58=0),"-",O58))</f>
        <v/>
      </c>
      <c r="Q58" s="13">
</c>
      <c r="R58" s="9" cm="1" t="str">
        <f t="array" ref="R58">IF(C58="","",ROUND(Q58/1000000,3)&amp;" M€")</f>
        <v/>
      </c>
      <c r="S58" s="9">
</c>
      <c r="T58" s="9" cm="1" t="str">
        <f t="array" ref="T58">IF(C58="","",SUBSTITUTE(S58,"","")&amp;"%")</f>
        <v/>
      </c>
      <c r="U58" s="11" cm="1" t="str">
        <f t="array" ref="U58">IF(($N58="")*($P58=""),"",IF(($N58&lt;&gt;"")*($N58&gt;TODAY()-9)*($N58&lt;TODAY()+1)*($P58&lt;&gt;"")*($P58&gt;=TODAY())*($P58&lt;=TODAY()+13),"Semaine passée &amp; à venir",IF(($N58&lt;&gt;"")*($N58&gt;TODAY()-9)*($N58&lt;TODAY()+1),"Semaine passée",IF(($P58&lt;&gt;"")*($P58&gt;=TODAY())*($P58&lt;=TODAY()+13),"À venir","Autre"))))</f>
        <v/>
      </c>
      <c r="V58" s="5" cm="1" t="n">
        <f t="array" ref="V58">IF(C58&lt;&gt;"",1,0)</f>
        <v>0</v>
      </c>
      <c r="W58" s="5">
</c>
      <c r="X58" s="5">
</c>
      <c r="Y58" s="5">
</c>
      <c r="Z58" s="5">
</c>
      <c r="AA58" s="5">
</c>
      <c r="AB58" s="5">
</c>
      <c r="AC58" s="5">
</c>
      <c r="AD58" s="5">
</c>
      <c r="AE58" s="5">
</c>
      <c r="AF58" s="5">
</c>
      <c r="AG58" s="5">
</c>
      <c r="AH58" s="5">
</c>
      <c r="AI58" s="5">
</c>
      <c r="AJ58" s="5">
</c>
    </row>
    <row r="59" ht="81" customHeight="1">
      <c r="A59" s="6">
</c>
      <c r="B59" s="6">
</c>
      <c r="C59" s="9">
</c>
      <c r="D59" s="9">
</c>
      <c r="E59" s="6">
</c>
      <c r="F59" s="5">
</c>
      <c r="G59" s="10" cm="1" t="str">
        <f t="array" ref="G59">IF(F59="","",SUBSTITUTE(SUBSTITUTE(SUBSTITUTE(SUBSTITUTE(F59,"&lt;li&gt;",CHAR(10)),"&lt;/li&gt;",""),"&lt;br&gt;",CHAR(10)),"&lt;strong&gt;",""))</f>
        <v/>
      </c>
      <c r="H59" s="10" cm="1" t="str">
        <f t="array" ref="H59">IF(G59="","",SUBSTITUTE(SUBSTITUTE(SUBSTITUTE(SUBSTITUTE(SUBSTITUTE(G59,"&lt;p&gt;",""),"&lt;/p&gt;",""),"&lt;ul&gt;",""),"&lt;/ul&gt;",""),"&lt;/strong&gt;",""))</f>
        <v/>
      </c>
      <c r="I59" s="11" cm="1" t="str">
        <f t="array" ref="I59">IF(C59="","",IF(OR(H59="",H59=0,H59=FALSE),"-",H59))</f>
        <v/>
      </c>
      <c r="J59" s="5">
</c>
      <c r="K59" s="6">
</c>
      <c r="L59" s="6" cm="1" t="str">
        <f t="array" ref="L59">IF(C59="","",IF(K59="Mort / Plus rien à faire","KO","OK"))</f>
        <v/>
      </c>
      <c r="M59" s="12">
</c>
      <c r="N59" s="12" cm="1" t="str">
        <f t="array" ref="N59">IF(OR(C59="",M59="",M59=0),"",M59)</f>
        <v/>
      </c>
      <c r="O59" s="12">
</c>
      <c r="P59" s="12" cm="1" t="str">
        <f t="array" ref="P59">IF(C59="","",IF(OR(O59="",O59=0),"-",O59))</f>
        <v/>
      </c>
      <c r="Q59" s="13">
</c>
      <c r="R59" s="9" cm="1" t="str">
        <f t="array" ref="R59">IF(C59="","",ROUND(Q59/1000000,3)&amp;" M€")</f>
        <v/>
      </c>
      <c r="S59" s="9">
</c>
      <c r="T59" s="9" cm="1" t="str">
        <f t="array" ref="T59">IF(C59="","",SUBSTITUTE(S59,"","")&amp;"%")</f>
        <v/>
      </c>
      <c r="U59" s="11" cm="1" t="str">
        <f t="array" ref="U59">IF(($N59="")*($P59=""),"",IF(($N59&lt;&gt;"")*($N59&gt;TODAY()-9)*($N59&lt;TODAY()+1)*($P59&lt;&gt;"")*($P59&gt;=TODAY())*($P59&lt;=TODAY()+13),"Semaine passée &amp; à venir",IF(($N59&lt;&gt;"")*($N59&gt;TODAY()-9)*($N59&lt;TODAY()+1),"Semaine passée",IF(($P59&lt;&gt;"")*($P59&gt;=TODAY())*($P59&lt;=TODAY()+13),"À venir","Autre"))))</f>
        <v/>
      </c>
      <c r="V59" s="5" cm="1" t="n">
        <f t="array" ref="V59">IF(C59&lt;&gt;"",1,0)</f>
        <v>0</v>
      </c>
      <c r="W59" s="5">
</c>
      <c r="X59" s="5">
</c>
      <c r="Y59" s="5">
</c>
      <c r="Z59" s="5">
</c>
      <c r="AA59" s="5">
</c>
      <c r="AB59" s="5">
</c>
      <c r="AC59" s="5">
</c>
      <c r="AD59" s="5">
</c>
      <c r="AE59" s="5">
</c>
      <c r="AF59" s="5">
</c>
      <c r="AG59" s="5">
</c>
      <c r="AH59" s="5">
</c>
      <c r="AI59" s="5">
</c>
      <c r="AJ59" s="5">
</c>
    </row>
    <row r="60" ht="81" customHeight="1">
      <c r="A60" s="6">
</c>
      <c r="B60" s="6">
</c>
      <c r="C60" s="9">
</c>
      <c r="D60" s="9">
</c>
      <c r="E60" s="6">
</c>
      <c r="F60" s="5">
</c>
      <c r="G60" s="10" cm="1" t="str">
        <f t="array" ref="G60">IF(F60="","",SUBSTITUTE(SUBSTITUTE(SUBSTITUTE(SUBSTITUTE(F60,"&lt;li&gt;",CHAR(10)),"&lt;/li&gt;",""),"&lt;br&gt;",CHAR(10)),"&lt;strong&gt;",""))</f>
        <v/>
      </c>
      <c r="H60" s="10" cm="1" t="str">
        <f t="array" ref="H60">IF(G60="","",SUBSTITUTE(SUBSTITUTE(SUBSTITUTE(SUBSTITUTE(SUBSTITUTE(G60,"&lt;p&gt;",""),"&lt;/p&gt;",""),"&lt;ul&gt;",""),"&lt;/ul&gt;",""),"&lt;/strong&gt;",""))</f>
        <v/>
      </c>
      <c r="I60" s="11" cm="1" t="str">
        <f t="array" ref="I60">IF(C60="","",IF(OR(H60="",H60=0,H60=FALSE),"-",H60))</f>
        <v/>
      </c>
      <c r="J60" s="5">
</c>
      <c r="K60" s="6">
</c>
      <c r="L60" s="6" cm="1" t="str">
        <f t="array" ref="L60">IF(C60="","",IF(K60="Mort / Plus rien à faire","KO","OK"))</f>
        <v/>
      </c>
      <c r="M60" s="12">
</c>
      <c r="N60" s="12" cm="1" t="str">
        <f t="array" ref="N60">IF(OR(C60="",M60="",M60=0),"",M60)</f>
        <v/>
      </c>
      <c r="O60" s="12">
</c>
      <c r="P60" s="12" cm="1" t="str">
        <f t="array" ref="P60">IF(C60="","",IF(OR(O60="",O60=0),"-",O60))</f>
        <v/>
      </c>
      <c r="Q60" s="13">
</c>
      <c r="R60" s="9" cm="1" t="str">
        <f t="array" ref="R60">IF(C60="","",ROUND(Q60/1000000,3)&amp;" M€")</f>
        <v/>
      </c>
      <c r="S60" s="9">
</c>
      <c r="T60" s="9" cm="1" t="str">
        <f t="array" ref="T60">IF(C60="","",SUBSTITUTE(S60,"","")&amp;"%")</f>
        <v/>
      </c>
      <c r="U60" s="11" cm="1" t="str">
        <f t="array" ref="U60">IF(($N60="")*($P60=""),"",IF(($N60&lt;&gt;"")*($N60&gt;TODAY()-9)*($N60&lt;TODAY()+1)*($P60&lt;&gt;"")*($P60&gt;=TODAY())*($P60&lt;=TODAY()+13),"Semaine passée &amp; à venir",IF(($N60&lt;&gt;"")*($N60&gt;TODAY()-9)*($N60&lt;TODAY()+1),"Semaine passée",IF(($P60&lt;&gt;"")*($P60&gt;=TODAY())*($P60&lt;=TODAY()+13),"À venir","Autre"))))</f>
        <v/>
      </c>
      <c r="V60" s="5" cm="1" t="n">
        <f t="array" ref="V60">IF(C60&lt;&gt;"",1,0)</f>
        <v>0</v>
      </c>
      <c r="W60" s="5">
</c>
      <c r="X60" s="5">
</c>
      <c r="Y60" s="5">
</c>
      <c r="Z60" s="5">
</c>
      <c r="AA60" s="5">
</c>
      <c r="AB60" s="5">
</c>
      <c r="AC60" s="5">
</c>
      <c r="AD60" s="5">
</c>
      <c r="AE60" s="5">
</c>
      <c r="AF60" s="5">
</c>
      <c r="AG60" s="5">
</c>
      <c r="AH60" s="5">
</c>
      <c r="AI60" s="5">
</c>
      <c r="AJ60" s="5">
</c>
    </row>
    <row r="61" ht="81" customHeight="1">
      <c r="A61" s="6">
</c>
      <c r="B61" s="6">
</c>
      <c r="C61" s="9">
</c>
      <c r="D61" s="9">
</c>
      <c r="E61" s="6">
</c>
      <c r="F61" s="5">
</c>
      <c r="G61" s="10" cm="1" t="str">
        <f t="array" ref="G61">IF(F61="","",SUBSTITUTE(SUBSTITUTE(SUBSTITUTE(SUBSTITUTE(F61,"&lt;li&gt;",CHAR(10)),"&lt;/li&gt;",""),"&lt;br&gt;",CHAR(10)),"&lt;strong&gt;",""))</f>
        <v/>
      </c>
      <c r="H61" s="10" cm="1" t="str">
        <f t="array" ref="H61">IF(G61="","",SUBSTITUTE(SUBSTITUTE(SUBSTITUTE(SUBSTITUTE(SUBSTITUTE(G61,"&lt;p&gt;",""),"&lt;/p&gt;",""),"&lt;ul&gt;",""),"&lt;/ul&gt;",""),"&lt;/strong&gt;",""))</f>
        <v/>
      </c>
      <c r="I61" s="11" cm="1" t="str">
        <f t="array" ref="I61">IF(C61="","",IF(OR(H61="",H61=0,H61=FALSE),"-",H61))</f>
        <v/>
      </c>
      <c r="J61" s="5">
</c>
      <c r="K61" s="6">
</c>
      <c r="L61" s="6" cm="1" t="str">
        <f t="array" ref="L61">IF(C61="","",IF(K61="Mort / Plus rien à faire","KO","OK"))</f>
        <v/>
      </c>
      <c r="M61" s="12">
</c>
      <c r="N61" s="12" cm="1" t="str">
        <f t="array" ref="N61">IF(OR(C61="",M61="",M61=0),"",M61)</f>
        <v/>
      </c>
      <c r="O61" s="12">
</c>
      <c r="P61" s="12" cm="1" t="str">
        <f t="array" ref="P61">IF(C61="","",IF(OR(O61="",O61=0),"-",O61))</f>
        <v/>
      </c>
      <c r="Q61" s="13">
</c>
      <c r="R61" s="9" cm="1" t="str">
        <f t="array" ref="R61">IF(C61="","",ROUND(Q61/1000000,3)&amp;" M€")</f>
        <v/>
      </c>
      <c r="S61" s="9">
</c>
      <c r="T61" s="9" cm="1" t="str">
        <f t="array" ref="T61">IF(C61="","",SUBSTITUTE(S61,"","")&amp;"%")</f>
        <v/>
      </c>
      <c r="U61" s="11" cm="1" t="str">
        <f t="array" ref="U61">IF(($N61="")*($P61=""),"",IF(($N61&lt;&gt;"")*($N61&gt;TODAY()-9)*($N61&lt;TODAY()+1)*($P61&lt;&gt;"")*($P61&gt;=TODAY())*($P61&lt;=TODAY()+13),"Semaine passée &amp; à venir",IF(($N61&lt;&gt;"")*($N61&gt;TODAY()-9)*($N61&lt;TODAY()+1),"Semaine passée",IF(($P61&lt;&gt;"")*($P61&gt;=TODAY())*($P61&lt;=TODAY()+13),"À venir","Autre"))))</f>
        <v/>
      </c>
      <c r="V61" s="5" cm="1" t="n">
        <f t="array" ref="V61">IF(C61&lt;&gt;"",1,0)</f>
        <v>0</v>
      </c>
      <c r="W61" s="5">
</c>
      <c r="X61" s="5">
</c>
      <c r="Y61" s="5">
</c>
      <c r="Z61" s="5">
</c>
      <c r="AA61" s="5">
</c>
      <c r="AB61" s="5">
</c>
      <c r="AC61" s="5">
</c>
      <c r="AD61" s="5">
</c>
      <c r="AE61" s="5">
</c>
      <c r="AF61" s="5">
</c>
      <c r="AG61" s="5">
</c>
      <c r="AH61" s="5">
</c>
      <c r="AI61" s="5">
</c>
      <c r="AJ61" s="5">
</c>
    </row>
    <row r="62" ht="81" customHeight="1">
      <c r="A62" s="6">
</c>
      <c r="B62" s="6">
</c>
      <c r="C62" s="9">
</c>
      <c r="D62" s="9">
</c>
      <c r="E62" s="6">
</c>
      <c r="F62" s="5">
</c>
      <c r="G62" s="10" cm="1" t="str">
        <f t="array" ref="G62">IF(F62="","",SUBSTITUTE(SUBSTITUTE(SUBSTITUTE(SUBSTITUTE(F62,"&lt;li&gt;",CHAR(10)),"&lt;/li&gt;",""),"&lt;br&gt;",CHAR(10)),"&lt;strong&gt;",""))</f>
        <v/>
      </c>
      <c r="H62" s="10" cm="1" t="str">
        <f t="array" ref="H62">IF(G62="","",SUBSTITUTE(SUBSTITUTE(SUBSTITUTE(SUBSTITUTE(SUBSTITUTE(G62,"&lt;p&gt;",""),"&lt;/p&gt;",""),"&lt;ul&gt;",""),"&lt;/ul&gt;",""),"&lt;/strong&gt;",""))</f>
        <v/>
      </c>
      <c r="I62" s="11" cm="1" t="str">
        <f t="array" ref="I62">IF(C62="","",IF(OR(H62="",H62=0,H62=FALSE),"-",H62))</f>
        <v/>
      </c>
      <c r="J62" s="5">
</c>
      <c r="K62" s="6">
</c>
      <c r="L62" s="6" cm="1" t="str">
        <f t="array" ref="L62">IF(C62="","",IF(K62="Mort / Plus rien à faire","KO","OK"))</f>
        <v/>
      </c>
      <c r="M62" s="12">
</c>
      <c r="N62" s="12" cm="1" t="str">
        <f t="array" ref="N62">IF(OR(C62="",M62="",M62=0),"",M62)</f>
        <v/>
      </c>
      <c r="O62" s="12">
</c>
      <c r="P62" s="12" cm="1" t="str">
        <f t="array" ref="P62">IF(C62="","",IF(OR(O62="",O62=0),"-",O62))</f>
        <v/>
      </c>
      <c r="Q62" s="13">
</c>
      <c r="R62" s="9" cm="1" t="str">
        <f t="array" ref="R62">IF(C62="","",ROUND(Q62/1000000,3)&amp;" M€")</f>
        <v/>
      </c>
      <c r="S62" s="9">
</c>
      <c r="T62" s="9" cm="1" t="str">
        <f t="array" ref="T62">IF(C62="","",SUBSTITUTE(S62,"","")&amp;"%")</f>
        <v/>
      </c>
      <c r="U62" s="11" cm="1" t="str">
        <f t="array" ref="U62">IF(($N62="")*($P62=""),"",IF(($N62&lt;&gt;"")*($N62&gt;TODAY()-9)*($N62&lt;TODAY()+1)*($P62&lt;&gt;"")*($P62&gt;=TODAY())*($P62&lt;=TODAY()+13),"Semaine passée &amp; à venir",IF(($N62&lt;&gt;"")*($N62&gt;TODAY()-9)*($N62&lt;TODAY()+1),"Semaine passée",IF(($P62&lt;&gt;"")*($P62&gt;=TODAY())*($P62&lt;=TODAY()+13),"À venir","Autre"))))</f>
        <v/>
      </c>
      <c r="V62" s="5" cm="1" t="n">
        <f t="array" ref="V62">IF(C62&lt;&gt;"",1,0)</f>
        <v>0</v>
      </c>
      <c r="W62" s="5">
</c>
      <c r="X62" s="5">
</c>
      <c r="Y62" s="5">
</c>
      <c r="Z62" s="5">
</c>
      <c r="AA62" s="5">
</c>
      <c r="AB62" s="5">
</c>
      <c r="AC62" s="5">
</c>
      <c r="AD62" s="5">
</c>
      <c r="AE62" s="5">
</c>
      <c r="AF62" s="5">
</c>
      <c r="AG62" s="5">
</c>
      <c r="AH62" s="5">
</c>
      <c r="AI62" s="5">
</c>
      <c r="AJ62" s="5">
</c>
    </row>
    <row r="63" ht="81" customHeight="1">
      <c r="A63" s="6">
</c>
      <c r="B63" s="6">
</c>
      <c r="C63" s="9">
</c>
      <c r="D63" s="9">
</c>
      <c r="E63" s="6">
</c>
      <c r="F63" s="5">
</c>
      <c r="G63" s="10" cm="1" t="str">
        <f t="array" ref="G63">IF(F63="","",SUBSTITUTE(SUBSTITUTE(SUBSTITUTE(SUBSTITUTE(F63,"&lt;li&gt;",CHAR(10)),"&lt;/li&gt;",""),"&lt;br&gt;",CHAR(10)),"&lt;strong&gt;",""))</f>
        <v/>
      </c>
      <c r="H63" s="10" cm="1" t="str">
        <f t="array" ref="H63">IF(G63="","",SUBSTITUTE(SUBSTITUTE(SUBSTITUTE(SUBSTITUTE(SUBSTITUTE(G63,"&lt;p&gt;",""),"&lt;/p&gt;",""),"&lt;ul&gt;",""),"&lt;/ul&gt;",""),"&lt;/strong&gt;",""))</f>
        <v/>
      </c>
      <c r="I63" s="11" cm="1" t="str">
        <f t="array" ref="I63">IF(C63="","",IF(OR(H63="",H63=0,H63=FALSE),"-",H63))</f>
        <v/>
      </c>
      <c r="J63" s="5">
</c>
      <c r="K63" s="6">
</c>
      <c r="L63" s="6" cm="1" t="str">
        <f t="array" ref="L63">IF(C63="","",IF(K63="Mort / Plus rien à faire","KO","OK"))</f>
        <v/>
      </c>
      <c r="M63" s="12">
</c>
      <c r="N63" s="12" cm="1" t="str">
        <f t="array" ref="N63">IF(OR(C63="",M63="",M63=0),"",M63)</f>
        <v/>
      </c>
      <c r="O63" s="12">
</c>
      <c r="P63" s="12" cm="1" t="str">
        <f t="array" ref="P63">IF(C63="","",IF(OR(O63="",O63=0),"-",O63))</f>
        <v/>
      </c>
      <c r="Q63" s="13">
</c>
      <c r="R63" s="9" cm="1" t="str">
        <f t="array" ref="R63">IF(C63="","",ROUND(Q63/1000000,3)&amp;" M€")</f>
        <v/>
      </c>
      <c r="S63" s="9">
</c>
      <c r="T63" s="9" cm="1" t="str">
        <f t="array" ref="T63">IF(C63="","",SUBSTITUTE(S63,"","")&amp;"%")</f>
        <v/>
      </c>
      <c r="U63" s="11" cm="1" t="str">
        <f t="array" ref="U63">IF(($N63="")*($P63=""),"",IF(($N63&lt;&gt;"")*($N63&gt;TODAY()-9)*($N63&lt;TODAY()+1)*($P63&lt;&gt;"")*($P63&gt;=TODAY())*($P63&lt;=TODAY()+13),"Semaine passée &amp; à venir",IF(($N63&lt;&gt;"")*($N63&gt;TODAY()-9)*($N63&lt;TODAY()+1),"Semaine passée",IF(($P63&lt;&gt;"")*($P63&gt;=TODAY())*($P63&lt;=TODAY()+13),"À venir","Autre"))))</f>
        <v/>
      </c>
      <c r="V63" s="5" cm="1" t="n">
        <f t="array" ref="V63">IF(C63&lt;&gt;"",1,0)</f>
        <v>0</v>
      </c>
      <c r="W63" s="5">
</c>
      <c r="X63" s="5">
</c>
      <c r="Y63" s="5">
</c>
      <c r="Z63" s="5">
</c>
      <c r="AA63" s="5">
</c>
      <c r="AB63" s="5">
</c>
      <c r="AC63" s="5">
</c>
      <c r="AD63" s="5">
</c>
      <c r="AE63" s="5">
</c>
      <c r="AF63" s="5">
</c>
      <c r="AG63" s="5">
</c>
      <c r="AH63" s="5">
</c>
      <c r="AI63" s="5">
</c>
      <c r="AJ63" s="5">
</c>
    </row>
    <row r="64" ht="81" customHeight="1">
      <c r="A64" s="6">
</c>
      <c r="B64" s="6">
</c>
      <c r="C64" s="9">
</c>
      <c r="D64" s="9">
</c>
      <c r="E64" s="6">
</c>
      <c r="F64" s="5">
</c>
      <c r="G64" s="10" cm="1" t="str">
        <f t="array" ref="G64">IF(F64="","",SUBSTITUTE(SUBSTITUTE(SUBSTITUTE(SUBSTITUTE(F64,"&lt;li&gt;",CHAR(10)),"&lt;/li&gt;",""),"&lt;br&gt;",CHAR(10)),"&lt;strong&gt;",""))</f>
        <v/>
      </c>
      <c r="H64" s="10" cm="1" t="str">
        <f t="array" ref="H64">IF(G64="","",SUBSTITUTE(SUBSTITUTE(SUBSTITUTE(SUBSTITUTE(SUBSTITUTE(G64,"&lt;p&gt;",""),"&lt;/p&gt;",""),"&lt;ul&gt;",""),"&lt;/ul&gt;",""),"&lt;/strong&gt;",""))</f>
        <v/>
      </c>
      <c r="I64" s="11" cm="1" t="str">
        <f t="array" ref="I64">IF(C64="","",IF(OR(H64="",H64=0,H64=FALSE),"-",H64))</f>
        <v/>
      </c>
      <c r="J64" s="5">
</c>
      <c r="K64" s="6">
</c>
      <c r="L64" s="6" cm="1" t="str">
        <f t="array" ref="L64">IF(C64="","",IF(K64="Mort / Plus rien à faire","KO","OK"))</f>
        <v/>
      </c>
      <c r="M64" s="12">
</c>
      <c r="N64" s="12" cm="1" t="str">
        <f t="array" ref="N64">IF(OR(C64="",M64="",M64=0),"",M64)</f>
        <v/>
      </c>
      <c r="O64" s="12">
</c>
      <c r="P64" s="12" cm="1" t="str">
        <f t="array" ref="P64">IF(C64="","",IF(OR(O64="",O64=0),"-",O64))</f>
        <v/>
      </c>
      <c r="Q64" s="13">
</c>
      <c r="R64" s="9" cm="1" t="str">
        <f t="array" ref="R64">IF(C64="","",ROUND(Q64/1000000,3)&amp;" M€")</f>
        <v/>
      </c>
      <c r="S64" s="9">
</c>
      <c r="T64" s="9" cm="1" t="str">
        <f t="array" ref="T64">IF(C64="","",SUBSTITUTE(S64,"","")&amp;"%")</f>
        <v/>
      </c>
      <c r="U64" s="11" cm="1" t="str">
        <f t="array" ref="U64">IF(($N64="")*($P64=""),"",IF(($N64&lt;&gt;"")*($N64&gt;TODAY()-9)*($N64&lt;TODAY()+1)*($P64&lt;&gt;"")*($P64&gt;=TODAY())*($P64&lt;=TODAY()+13),"Semaine passée &amp; à venir",IF(($N64&lt;&gt;"")*($N64&gt;TODAY()-9)*($N64&lt;TODAY()+1),"Semaine passée",IF(($P64&lt;&gt;"")*($P64&gt;=TODAY())*($P64&lt;=TODAY()+13),"À venir","Autre"))))</f>
        <v/>
      </c>
      <c r="V64" s="5" cm="1" t="n">
        <f t="array" ref="V64">IF(C64&lt;&gt;"",1,0)</f>
        <v>0</v>
      </c>
      <c r="W64" s="5">
</c>
      <c r="X64" s="5">
</c>
      <c r="Y64" s="5">
</c>
      <c r="Z64" s="5">
</c>
      <c r="AA64" s="5">
</c>
      <c r="AB64" s="5">
</c>
      <c r="AC64" s="5">
</c>
      <c r="AD64" s="5">
</c>
      <c r="AE64" s="5">
</c>
      <c r="AF64" s="5">
</c>
      <c r="AG64" s="5">
</c>
      <c r="AH64" s="5">
</c>
      <c r="AI64" s="5">
</c>
      <c r="AJ64" s="5">
</c>
    </row>
    <row r="65" ht="81" customHeight="1">
      <c r="A65" s="6">
</c>
      <c r="B65" s="6">
</c>
      <c r="C65" s="9">
</c>
      <c r="D65" s="9">
</c>
      <c r="E65" s="6">
</c>
      <c r="F65" s="5">
</c>
      <c r="G65" s="10" cm="1" t="str">
        <f t="array" ref="G65">IF(F65="","",SUBSTITUTE(SUBSTITUTE(SUBSTITUTE(SUBSTITUTE(F65,"&lt;li&gt;",CHAR(10)),"&lt;/li&gt;",""),"&lt;br&gt;",CHAR(10)),"&lt;strong&gt;",""))</f>
        <v/>
      </c>
      <c r="H65" s="10" cm="1" t="str">
        <f t="array" ref="H65">IF(G65="","",SUBSTITUTE(SUBSTITUTE(SUBSTITUTE(SUBSTITUTE(SUBSTITUTE(G65,"&lt;p&gt;",""),"&lt;/p&gt;",""),"&lt;ul&gt;",""),"&lt;/ul&gt;",""),"&lt;/strong&gt;",""))</f>
        <v/>
      </c>
      <c r="I65" s="11" cm="1" t="str">
        <f t="array" ref="I65">IF(C65="","",IF(OR(H65="",H65=0,H65=FALSE),"-",H65))</f>
        <v/>
      </c>
      <c r="J65" s="5">
</c>
      <c r="K65" s="6">
</c>
      <c r="L65" s="6" cm="1" t="str">
        <f t="array" ref="L65">IF(C65="","",IF(K65="Mort / Plus rien à faire","KO","OK"))</f>
        <v/>
      </c>
      <c r="M65" s="12">
</c>
      <c r="N65" s="12" cm="1" t="str">
        <f t="array" ref="N65">IF(OR(C65="",M65="",M65=0),"",M65)</f>
        <v/>
      </c>
      <c r="O65" s="12">
</c>
      <c r="P65" s="12" cm="1" t="str">
        <f t="array" ref="P65">IF(C65="","",IF(OR(O65="",O65=0),"-",O65))</f>
        <v/>
      </c>
      <c r="Q65" s="13">
</c>
      <c r="R65" s="9" cm="1" t="str">
        <f t="array" ref="R65">IF(C65="","",ROUND(Q65/1000000,3)&amp;" M€")</f>
        <v/>
      </c>
      <c r="S65" s="9">
</c>
      <c r="T65" s="9" cm="1" t="str">
        <f t="array" ref="T65">IF(C65="","",SUBSTITUTE(S65,"","")&amp;"%")</f>
        <v/>
      </c>
      <c r="U65" s="11" cm="1" t="str">
        <f t="array" ref="U65">IF(($N65="")*($P65=""),"",IF(($N65&lt;&gt;"")*($N65&gt;TODAY()-9)*($N65&lt;TODAY()+1)*($P65&lt;&gt;"")*($P65&gt;=TODAY())*($P65&lt;=TODAY()+13),"Semaine passée &amp; à venir",IF(($N65&lt;&gt;"")*($N65&gt;TODAY()-9)*($N65&lt;TODAY()+1),"Semaine passée",IF(($P65&lt;&gt;"")*($P65&gt;=TODAY())*($P65&lt;=TODAY()+13),"À venir","Autre"))))</f>
        <v/>
      </c>
      <c r="V65" s="5" cm="1" t="n">
        <f t="array" ref="V65">IF(C65&lt;&gt;"",1,0)</f>
        <v>0</v>
      </c>
      <c r="W65" s="5">
</c>
      <c r="X65" s="5">
</c>
      <c r="Y65" s="5">
</c>
      <c r="Z65" s="5">
</c>
      <c r="AA65" s="5">
</c>
      <c r="AB65" s="5">
</c>
      <c r="AC65" s="5">
</c>
      <c r="AD65" s="5">
</c>
      <c r="AE65" s="5">
</c>
      <c r="AF65" s="5">
</c>
      <c r="AG65" s="5">
</c>
      <c r="AH65" s="5">
</c>
      <c r="AI65" s="5">
</c>
      <c r="AJ65" s="5">
</c>
    </row>
    <row r="66" ht="81" customHeight="1">
      <c r="A66" s="6">
</c>
      <c r="B66" s="6">
</c>
      <c r="C66" s="9">
</c>
      <c r="D66" s="9">
</c>
      <c r="E66" s="6">
</c>
      <c r="F66" s="5">
</c>
      <c r="G66" s="10" cm="1" t="str">
        <f t="array" ref="G66">IF(F66="","",SUBSTITUTE(SUBSTITUTE(SUBSTITUTE(SUBSTITUTE(F66,"&lt;li&gt;",CHAR(10)),"&lt;/li&gt;",""),"&lt;br&gt;",CHAR(10)),"&lt;strong&gt;",""))</f>
        <v/>
      </c>
      <c r="H66" s="10" cm="1" t="str">
        <f t="array" ref="H66">IF(G66="","",SUBSTITUTE(SUBSTITUTE(SUBSTITUTE(SUBSTITUTE(SUBSTITUTE(G66,"&lt;p&gt;",""),"&lt;/p&gt;",""),"&lt;ul&gt;",""),"&lt;/ul&gt;",""),"&lt;/strong&gt;",""))</f>
        <v/>
      </c>
      <c r="I66" s="11" cm="1" t="str">
        <f t="array" ref="I66">IF(C66="","",IF(OR(H66="",H66=0,H66=FALSE),"-",H66))</f>
        <v/>
      </c>
      <c r="J66" s="5">
</c>
      <c r="K66" s="6">
</c>
      <c r="L66" s="6" cm="1" t="str">
        <f t="array" ref="L66">IF(C66="","",IF(K66="Mort / Plus rien à faire","KO","OK"))</f>
        <v/>
      </c>
      <c r="M66" s="12">
</c>
      <c r="N66" s="12" cm="1" t="str">
        <f t="array" ref="N66">IF(OR(C66="",M66="",M66=0),"",M66)</f>
        <v/>
      </c>
      <c r="O66" s="12">
</c>
      <c r="P66" s="12" cm="1" t="str">
        <f t="array" ref="P66">IF(C66="","",IF(OR(O66="",O66=0),"-",O66))</f>
        <v/>
      </c>
      <c r="Q66" s="13">
</c>
      <c r="R66" s="9" cm="1" t="str">
        <f t="array" ref="R66">IF(C66="","",ROUND(Q66/1000000,3)&amp;" M€")</f>
        <v/>
      </c>
      <c r="S66" s="9">
</c>
      <c r="T66" s="9" cm="1" t="str">
        <f t="array" ref="T66">IF(C66="","",SUBSTITUTE(S66,"","")&amp;"%")</f>
        <v/>
      </c>
      <c r="U66" s="11" cm="1" t="str">
        <f t="array" ref="U66">IF(($N66="")*($P66=""),"",IF(($N66&lt;&gt;"")*($N66&gt;TODAY()-9)*($N66&lt;TODAY()+1)*($P66&lt;&gt;"")*($P66&gt;=TODAY())*($P66&lt;=TODAY()+13),"Semaine passée &amp; à venir",IF(($N66&lt;&gt;"")*($N66&gt;TODAY()-9)*($N66&lt;TODAY()+1),"Semaine passée",IF(($P66&lt;&gt;"")*($P66&gt;=TODAY())*($P66&lt;=TODAY()+13),"À venir","Autre"))))</f>
        <v/>
      </c>
      <c r="V66" s="5" cm="1" t="n">
        <f t="array" ref="V66">IF(C66&lt;&gt;"",1,0)</f>
        <v>0</v>
      </c>
      <c r="W66" s="5">
</c>
      <c r="X66" s="5">
</c>
      <c r="Y66" s="5">
</c>
      <c r="Z66" s="5">
</c>
      <c r="AA66" s="5">
</c>
      <c r="AB66" s="5">
</c>
      <c r="AC66" s="5">
</c>
      <c r="AD66" s="5">
</c>
      <c r="AE66" s="5">
</c>
      <c r="AF66" s="5">
</c>
      <c r="AG66" s="5">
</c>
      <c r="AH66" s="5">
</c>
      <c r="AI66" s="5">
</c>
      <c r="AJ66" s="5">
</c>
    </row>
    <row r="67" ht="81" customHeight="1">
      <c r="A67" s="6">
</c>
      <c r="B67" s="6">
</c>
      <c r="C67" s="9">
</c>
      <c r="D67" s="9">
</c>
      <c r="E67" s="6">
</c>
      <c r="F67" s="5">
</c>
      <c r="G67" s="10" cm="1" t="str">
        <f t="array" ref="G67">IF(F67="","",SUBSTITUTE(SUBSTITUTE(SUBSTITUTE(SUBSTITUTE(F67,"&lt;li&gt;",CHAR(10)),"&lt;/li&gt;",""),"&lt;br&gt;",CHAR(10)),"&lt;strong&gt;",""))</f>
        <v/>
      </c>
      <c r="H67" s="10" cm="1" t="str">
        <f t="array" ref="H67">IF(G67="","",SUBSTITUTE(SUBSTITUTE(SUBSTITUTE(SUBSTITUTE(SUBSTITUTE(G67,"&lt;p&gt;",""),"&lt;/p&gt;",""),"&lt;ul&gt;",""),"&lt;/ul&gt;",""),"&lt;/strong&gt;",""))</f>
        <v/>
      </c>
      <c r="I67" s="11" cm="1" t="str">
        <f t="array" ref="I67">IF(C67="","",IF(OR(H67="",H67=0,H67=FALSE),"-",H67))</f>
        <v/>
      </c>
      <c r="J67" s="5">
</c>
      <c r="K67" s="6">
</c>
      <c r="L67" s="6" cm="1" t="str">
        <f t="array" ref="L67">IF(C67="","",IF(K67="Mort / Plus rien à faire","KO","OK"))</f>
        <v/>
      </c>
      <c r="M67" s="12">
</c>
      <c r="N67" s="12" cm="1" t="str">
        <f t="array" ref="N67">IF(OR(C67="",M67="",M67=0),"",M67)</f>
        <v/>
      </c>
      <c r="O67" s="12">
</c>
      <c r="P67" s="12" cm="1" t="str">
        <f t="array" ref="P67">IF(C67="","",IF(OR(O67="",O67=0),"-",O67))</f>
        <v/>
      </c>
      <c r="Q67" s="13">
</c>
      <c r="R67" s="9" cm="1" t="str">
        <f t="array" ref="R67">IF(C67="","",ROUND(Q67/1000000,3)&amp;" M€")</f>
        <v/>
      </c>
      <c r="S67" s="9">
</c>
      <c r="T67" s="9" cm="1" t="str">
        <f t="array" ref="T67">IF(C67="","",SUBSTITUTE(S67,"","")&amp;"%")</f>
        <v/>
      </c>
      <c r="U67" s="11" cm="1" t="str">
        <f t="array" ref="U67">IF(($N67="")*($P67=""),"",IF(($N67&lt;&gt;"")*($N67&gt;TODAY()-9)*($N67&lt;TODAY()+1)*($P67&lt;&gt;"")*($P67&gt;=TODAY())*($P67&lt;=TODAY()+13),"Semaine passée &amp; à venir",IF(($N67&lt;&gt;"")*($N67&gt;TODAY()-9)*($N67&lt;TODAY()+1),"Semaine passée",IF(($P67&lt;&gt;"")*($P67&gt;=TODAY())*($P67&lt;=TODAY()+13),"À venir","Autre"))))</f>
        <v/>
      </c>
      <c r="V67" s="5" cm="1" t="n">
        <f t="array" ref="V67">IF(C67&lt;&gt;"",1,0)</f>
        <v>0</v>
      </c>
      <c r="W67" s="5">
</c>
      <c r="X67" s="5">
</c>
      <c r="Y67" s="5">
</c>
      <c r="Z67" s="5">
</c>
      <c r="AA67" s="5">
</c>
      <c r="AB67" s="5">
</c>
      <c r="AC67" s="5">
</c>
      <c r="AD67" s="5">
</c>
      <c r="AE67" s="5">
</c>
      <c r="AF67" s="5">
</c>
      <c r="AG67" s="5">
</c>
      <c r="AH67" s="5">
</c>
      <c r="AI67" s="5">
</c>
      <c r="AJ67" s="5">
</c>
    </row>
    <row r="68" ht="81" customHeight="1">
      <c r="A68" s="6">
</c>
      <c r="B68" s="6">
</c>
      <c r="C68" s="9">
</c>
      <c r="D68" s="9">
</c>
      <c r="E68" s="6">
</c>
      <c r="F68" s="5">
</c>
      <c r="G68" s="10" cm="1" t="str">
        <f t="array" ref="G68">IF(F68="","",SUBSTITUTE(SUBSTITUTE(SUBSTITUTE(SUBSTITUTE(F68,"&lt;li&gt;",CHAR(10)),"&lt;/li&gt;",""),"&lt;br&gt;",CHAR(10)),"&lt;strong&gt;",""))</f>
        <v/>
      </c>
      <c r="H68" s="10" cm="1" t="str">
        <f t="array" ref="H68">IF(G68="","",SUBSTITUTE(SUBSTITUTE(SUBSTITUTE(SUBSTITUTE(SUBSTITUTE(G68,"&lt;p&gt;",""),"&lt;/p&gt;",""),"&lt;ul&gt;",""),"&lt;/ul&gt;",""),"&lt;/strong&gt;",""))</f>
        <v/>
      </c>
      <c r="I68" s="11" cm="1" t="str">
        <f t="array" ref="I68">IF(C68="","",IF(OR(H68="",H68=0,H68=FALSE),"-",H68))</f>
        <v/>
      </c>
      <c r="J68" s="5">
</c>
      <c r="K68" s="6">
</c>
      <c r="L68" s="6" cm="1" t="str">
        <f t="array" ref="L68">IF(C68="","",IF(K68="Mort / Plus rien à faire","KO","OK"))</f>
        <v/>
      </c>
      <c r="M68" s="12">
</c>
      <c r="N68" s="12" cm="1" t="str">
        <f t="array" ref="N68">IF(OR(C68="",M68="",M68=0),"",M68)</f>
        <v/>
      </c>
      <c r="O68" s="12">
</c>
      <c r="P68" s="12" cm="1" t="str">
        <f t="array" ref="P68">IF(C68="","",IF(OR(O68="",O68=0),"-",O68))</f>
        <v/>
      </c>
      <c r="Q68" s="13">
</c>
      <c r="R68" s="9" cm="1" t="str">
        <f t="array" ref="R68">IF(C68="","",ROUND(Q68/1000000,3)&amp;" M€")</f>
        <v/>
      </c>
      <c r="S68" s="9">
</c>
      <c r="T68" s="9" cm="1" t="str">
        <f t="array" ref="T68">IF(C68="","",SUBSTITUTE(S68,"","")&amp;"%")</f>
        <v/>
      </c>
      <c r="U68" s="11" cm="1" t="str">
        <f t="array" ref="U68">IF(($N68="")*($P68=""),"",IF(($N68&lt;&gt;"")*($N68&gt;TODAY()-9)*($N68&lt;TODAY()+1)*($P68&lt;&gt;"")*($P68&gt;=TODAY())*($P68&lt;=TODAY()+13),"Semaine passée &amp; à venir",IF(($N68&lt;&gt;"")*($N68&gt;TODAY()-9)*($N68&lt;TODAY()+1),"Semaine passée",IF(($P68&lt;&gt;"")*($P68&gt;=TODAY())*($P68&lt;=TODAY()+13),"À venir","Autre"))))</f>
        <v/>
      </c>
      <c r="V68" s="5" cm="1" t="n">
        <f t="array" ref="V68">IF(C68&lt;&gt;"",1,0)</f>
        <v>0</v>
      </c>
      <c r="W68" s="5">
</c>
      <c r="X68" s="5">
</c>
      <c r="Y68" s="5">
</c>
      <c r="Z68" s="5">
</c>
      <c r="AA68" s="5">
</c>
      <c r="AB68" s="5">
</c>
      <c r="AC68" s="5">
</c>
      <c r="AD68" s="5">
</c>
      <c r="AE68" s="5">
</c>
      <c r="AF68" s="5">
</c>
      <c r="AG68" s="5">
</c>
      <c r="AH68" s="5">
</c>
      <c r="AI68" s="5">
</c>
      <c r="AJ68" s="5">
</c>
    </row>
    <row r="69" ht="81" customHeight="1">
      <c r="A69" s="6">
</c>
      <c r="B69" s="6">
</c>
      <c r="C69" s="9">
</c>
      <c r="D69" s="9">
</c>
      <c r="E69" s="6">
</c>
      <c r="F69" s="5">
</c>
      <c r="G69" s="10" cm="1" t="str">
        <f t="array" ref="G69">IF(F69="","",SUBSTITUTE(SUBSTITUTE(SUBSTITUTE(SUBSTITUTE(F69,"&lt;li&gt;",CHAR(10)),"&lt;/li&gt;",""),"&lt;br&gt;",CHAR(10)),"&lt;strong&gt;",""))</f>
        <v/>
      </c>
      <c r="H69" s="10" cm="1" t="str">
        <f t="array" ref="H69">IF(G69="","",SUBSTITUTE(SUBSTITUTE(SUBSTITUTE(SUBSTITUTE(SUBSTITUTE(G69,"&lt;p&gt;",""),"&lt;/p&gt;",""),"&lt;ul&gt;",""),"&lt;/ul&gt;",""),"&lt;/strong&gt;",""))</f>
        <v/>
      </c>
      <c r="I69" s="11" cm="1" t="str">
        <f t="array" ref="I69">IF(C69="","",IF(OR(H69="",H69=0,H69=FALSE),"-",H69))</f>
        <v/>
      </c>
      <c r="J69" s="5">
</c>
      <c r="K69" s="6">
</c>
      <c r="L69" s="6" cm="1" t="str">
        <f t="array" ref="L69">IF(C69="","",IF(K69="Mort / Plus rien à faire","KO","OK"))</f>
        <v/>
      </c>
      <c r="M69" s="12">
</c>
      <c r="N69" s="12" cm="1" t="str">
        <f t="array" ref="N69">IF(OR(C69="",M69="",M69=0),"",M69)</f>
        <v/>
      </c>
      <c r="O69" s="12">
</c>
      <c r="P69" s="12" cm="1" t="str">
        <f t="array" ref="P69">IF(C69="","",IF(OR(O69="",O69=0),"-",O69))</f>
        <v/>
      </c>
      <c r="Q69" s="13">
</c>
      <c r="R69" s="9" cm="1" t="str">
        <f t="array" ref="R69">IF(C69="","",ROUND(Q69/1000000,3)&amp;" M€")</f>
        <v/>
      </c>
      <c r="S69" s="9">
</c>
      <c r="T69" s="9" cm="1" t="str">
        <f t="array" ref="T69">IF(C69="","",SUBSTITUTE(S69,"","")&amp;"%")</f>
        <v/>
      </c>
      <c r="U69" s="11" cm="1" t="str">
        <f t="array" ref="U69">IF(($N69="")*($P69=""),"",IF(($N69&lt;&gt;"")*($N69&gt;TODAY()-9)*($N69&lt;TODAY()+1)*($P69&lt;&gt;"")*($P69&gt;=TODAY())*($P69&lt;=TODAY()+13),"Semaine passée &amp; à venir",IF(($N69&lt;&gt;"")*($N69&gt;TODAY()-9)*($N69&lt;TODAY()+1),"Semaine passée",IF(($P69&lt;&gt;"")*($P69&gt;=TODAY())*($P69&lt;=TODAY()+13),"À venir","Autre"))))</f>
        <v/>
      </c>
      <c r="V69" s="5" cm="1" t="n">
        <f t="array" ref="V69">IF(C69&lt;&gt;"",1,0)</f>
        <v>0</v>
      </c>
      <c r="W69" s="5">
</c>
      <c r="X69" s="5">
</c>
      <c r="Y69" s="5">
</c>
      <c r="Z69" s="5">
</c>
      <c r="AA69" s="5">
</c>
      <c r="AB69" s="5">
</c>
      <c r="AC69" s="5">
</c>
      <c r="AD69" s="5">
</c>
      <c r="AE69" s="5">
</c>
      <c r="AF69" s="5">
</c>
      <c r="AG69" s="5">
</c>
      <c r="AH69" s="5">
</c>
      <c r="AI69" s="5">
</c>
      <c r="AJ69" s="5">
</c>
    </row>
    <row r="70" ht="81" customHeight="1">
      <c r="A70" s="6">
</c>
      <c r="B70" s="6">
</c>
      <c r="C70" s="9">
</c>
      <c r="D70" s="9">
</c>
      <c r="E70" s="6">
</c>
      <c r="F70" s="5">
</c>
      <c r="G70" s="10" cm="1" t="str">
        <f t="array" ref="G70">IF(F70="","",SUBSTITUTE(SUBSTITUTE(SUBSTITUTE(SUBSTITUTE(F70,"&lt;li&gt;",CHAR(10)),"&lt;/li&gt;",""),"&lt;br&gt;",CHAR(10)),"&lt;strong&gt;",""))</f>
        <v/>
      </c>
      <c r="H70" s="10" cm="1" t="str">
        <f t="array" ref="H70">IF(G70="","",SUBSTITUTE(SUBSTITUTE(SUBSTITUTE(SUBSTITUTE(SUBSTITUTE(G70,"&lt;p&gt;",""),"&lt;/p&gt;",""),"&lt;ul&gt;",""),"&lt;/ul&gt;",""),"&lt;/strong&gt;",""))</f>
        <v/>
      </c>
      <c r="I70" s="11" cm="1" t="str">
        <f t="array" ref="I70">IF(C70="","",IF(OR(H70="",H70=0,H70=FALSE),"-",H70))</f>
        <v/>
      </c>
      <c r="J70" s="5">
</c>
      <c r="K70" s="6">
</c>
      <c r="L70" s="6" cm="1" t="str">
        <f t="array" ref="L70">IF(C70="","",IF(K70="Mort / Plus rien à faire","KO","OK"))</f>
        <v/>
      </c>
      <c r="M70" s="12">
</c>
      <c r="N70" s="12" cm="1" t="str">
        <f t="array" ref="N70">IF(OR(C70="",M70="",M70=0),"",M70)</f>
        <v/>
      </c>
      <c r="O70" s="12">
</c>
      <c r="P70" s="12" cm="1" t="str">
        <f t="array" ref="P70">IF(C70="","",IF(OR(O70="",O70=0),"-",O70))</f>
        <v/>
      </c>
      <c r="Q70" s="13">
</c>
      <c r="R70" s="9" cm="1" t="str">
        <f t="array" ref="R70">IF(C70="","",ROUND(Q70/1000000,3)&amp;" M€")</f>
        <v/>
      </c>
      <c r="S70" s="9">
</c>
      <c r="T70" s="9" cm="1" t="str">
        <f t="array" ref="T70">IF(C70="","",SUBSTITUTE(S70,"","")&amp;"%")</f>
        <v/>
      </c>
      <c r="U70" s="11" cm="1" t="str">
        <f t="array" ref="U70">IF(($N70="")*($P70=""),"",IF(($N70&lt;&gt;"")*($N70&gt;TODAY()-9)*($N70&lt;TODAY()+1)*($P70&lt;&gt;"")*($P70&gt;=TODAY())*($P70&lt;=TODAY()+13),"Semaine passée &amp; à venir",IF(($N70&lt;&gt;"")*($N70&gt;TODAY()-9)*($N70&lt;TODAY()+1),"Semaine passée",IF(($P70&lt;&gt;"")*($P70&gt;=TODAY())*($P70&lt;=TODAY()+13),"À venir","Autre"))))</f>
        <v/>
      </c>
      <c r="V70" s="5" cm="1" t="n">
        <f t="array" ref="V70">IF(C70&lt;&gt;"",1,0)</f>
        <v>0</v>
      </c>
      <c r="W70" s="5">
</c>
      <c r="X70" s="5">
</c>
      <c r="Y70" s="5">
</c>
      <c r="Z70" s="5">
</c>
      <c r="AA70" s="5">
</c>
      <c r="AB70" s="5">
</c>
      <c r="AC70" s="5">
</c>
      <c r="AD70" s="5">
</c>
      <c r="AE70" s="5">
</c>
      <c r="AF70" s="5">
</c>
      <c r="AG70" s="5">
</c>
      <c r="AH70" s="5">
</c>
      <c r="AI70" s="5">
</c>
      <c r="AJ70" s="5">
</c>
    </row>
    <row r="71" ht="81" customHeight="1">
      <c r="A71" s="6">
</c>
      <c r="B71" s="6">
</c>
      <c r="C71" s="9">
</c>
      <c r="D71" s="9">
</c>
      <c r="E71" s="6">
</c>
      <c r="F71" s="5">
</c>
      <c r="G71" s="10" cm="1" t="str">
        <f t="array" ref="G71">IF(F71="","",SUBSTITUTE(SUBSTITUTE(SUBSTITUTE(SUBSTITUTE(F71,"&lt;li&gt;",CHAR(10)),"&lt;/li&gt;",""),"&lt;br&gt;",CHAR(10)),"&lt;strong&gt;",""))</f>
        <v/>
      </c>
      <c r="H71" s="10" cm="1" t="str">
        <f t="array" ref="H71">IF(G71="","",SUBSTITUTE(SUBSTITUTE(SUBSTITUTE(SUBSTITUTE(SUBSTITUTE(G71,"&lt;p&gt;",""),"&lt;/p&gt;",""),"&lt;ul&gt;",""),"&lt;/ul&gt;",""),"&lt;/strong&gt;",""))</f>
        <v/>
      </c>
      <c r="I71" s="11" cm="1" t="str">
        <f t="array" ref="I71">IF(C71="","",IF(OR(H71="",H71=0,H71=FALSE),"-",H71))</f>
        <v/>
      </c>
      <c r="J71" s="5">
</c>
      <c r="K71" s="6">
</c>
      <c r="L71" s="6" cm="1" t="str">
        <f t="array" ref="L71">IF(C71="","",IF(K71="Mort / Plus rien à faire","KO","OK"))</f>
        <v/>
      </c>
      <c r="M71" s="12">
</c>
      <c r="N71" s="12" cm="1" t="str">
        <f t="array" ref="N71">IF(OR(C71="",M71="",M71=0),"",M71)</f>
        <v/>
      </c>
      <c r="O71" s="12">
</c>
      <c r="P71" s="12" cm="1" t="str">
        <f t="array" ref="P71">IF(C71="","",IF(OR(O71="",O71=0),"-",O71))</f>
        <v/>
      </c>
      <c r="Q71" s="13">
</c>
      <c r="R71" s="9" cm="1" t="str">
        <f t="array" ref="R71">IF(C71="","",ROUND(Q71/1000000,3)&amp;" M€")</f>
        <v/>
      </c>
      <c r="S71" s="9">
</c>
      <c r="T71" s="9" cm="1" t="str">
        <f t="array" ref="T71">IF(C71="","",SUBSTITUTE(S71,"","")&amp;"%")</f>
        <v/>
      </c>
      <c r="U71" s="11" cm="1" t="str">
        <f t="array" ref="U71">IF(($N71="")*($P71=""),"",IF(($N71&lt;&gt;"")*($N71&gt;TODAY()-9)*($N71&lt;TODAY()+1)*($P71&lt;&gt;"")*($P71&gt;=TODAY())*($P71&lt;=TODAY()+13),"Semaine passée &amp; à venir",IF(($N71&lt;&gt;"")*($N71&gt;TODAY()-9)*($N71&lt;TODAY()+1),"Semaine passée",IF(($P71&lt;&gt;"")*($P71&gt;=TODAY())*($P71&lt;=TODAY()+13),"À venir","Autre"))))</f>
        <v/>
      </c>
      <c r="V71" s="5" cm="1" t="n">
        <f t="array" ref="V71">IF(C71&lt;&gt;"",1,0)</f>
        <v>0</v>
      </c>
      <c r="W71" s="5">
</c>
      <c r="X71" s="5">
</c>
      <c r="Y71" s="5">
</c>
      <c r="Z71" s="5">
</c>
      <c r="AA71" s="5">
</c>
      <c r="AB71" s="5">
</c>
      <c r="AC71" s="5">
</c>
      <c r="AD71" s="5">
</c>
      <c r="AE71" s="5">
</c>
      <c r="AF71" s="5">
</c>
      <c r="AG71" s="5">
</c>
      <c r="AH71" s="5">
</c>
      <c r="AI71" s="5">
</c>
      <c r="AJ71" s="5">
</c>
    </row>
    <row r="72" ht="81" customHeight="1">
      <c r="A72" s="6">
</c>
      <c r="B72" s="6">
</c>
      <c r="C72" s="9">
</c>
      <c r="D72" s="9">
</c>
      <c r="E72" s="6">
</c>
      <c r="F72" s="5">
</c>
      <c r="G72" s="10" cm="1" t="str">
        <f t="array" ref="G72">IF(F72="","",SUBSTITUTE(SUBSTITUTE(SUBSTITUTE(SUBSTITUTE(F72,"&lt;li&gt;",CHAR(10)),"&lt;/li&gt;",""),"&lt;br&gt;",CHAR(10)),"&lt;strong&gt;",""))</f>
        <v/>
      </c>
      <c r="H72" s="10" cm="1" t="str">
        <f t="array" ref="H72">IF(G72="","",SUBSTITUTE(SUBSTITUTE(SUBSTITUTE(SUBSTITUTE(SUBSTITUTE(G72,"&lt;p&gt;",""),"&lt;/p&gt;",""),"&lt;ul&gt;",""),"&lt;/ul&gt;",""),"&lt;/strong&gt;",""))</f>
        <v/>
      </c>
      <c r="I72" s="11" cm="1" t="str">
        <f t="array" ref="I72">IF(C72="","",IF(OR(H72="",H72=0,H72=FALSE),"-",H72))</f>
        <v/>
      </c>
      <c r="J72" s="5">
</c>
      <c r="K72" s="6">
</c>
      <c r="L72" s="6" cm="1" t="str">
        <f t="array" ref="L72">IF(C72="","",IF(K72="Mort / Plus rien à faire","KO","OK"))</f>
        <v/>
      </c>
      <c r="M72" s="12">
</c>
      <c r="N72" s="12" cm="1" t="str">
        <f t="array" ref="N72">IF(OR(C72="",M72="",M72=0),"",M72)</f>
        <v/>
      </c>
      <c r="O72" s="12">
</c>
      <c r="P72" s="12" cm="1" t="str">
        <f t="array" ref="P72">IF(C72="","",IF(OR(O72="",O72=0),"-",O72))</f>
        <v/>
      </c>
      <c r="Q72" s="13">
</c>
      <c r="R72" s="9" cm="1" t="str">
        <f t="array" ref="R72">IF(C72="","",ROUND(Q72/1000000,3)&amp;" M€")</f>
        <v/>
      </c>
      <c r="S72" s="9">
</c>
      <c r="T72" s="9" cm="1" t="str">
        <f t="array" ref="T72">IF(C72="","",SUBSTITUTE(S72,"","")&amp;"%")</f>
        <v/>
      </c>
      <c r="U72" s="11" cm="1" t="str">
        <f t="array" ref="U72">IF(($N72="")*($P72=""),"",IF(($N72&lt;&gt;"")*($N72&gt;TODAY()-9)*($N72&lt;TODAY()+1)*($P72&lt;&gt;"")*($P72&gt;=TODAY())*($P72&lt;=TODAY()+13),"Semaine passée &amp; à venir",IF(($N72&lt;&gt;"")*($N72&gt;TODAY()-9)*($N72&lt;TODAY()+1),"Semaine passée",IF(($P72&lt;&gt;"")*($P72&gt;=TODAY())*($P72&lt;=TODAY()+13),"À venir","Autre"))))</f>
        <v/>
      </c>
      <c r="V72" s="5" cm="1" t="n">
        <f t="array" ref="V72">IF(C72&lt;&gt;"",1,0)</f>
        <v>0</v>
      </c>
      <c r="W72" s="5">
</c>
      <c r="X72" s="5">
</c>
      <c r="Y72" s="5">
</c>
      <c r="Z72" s="5">
</c>
      <c r="AA72" s="5">
</c>
      <c r="AB72" s="5">
</c>
      <c r="AC72" s="5">
</c>
      <c r="AD72" s="5">
</c>
      <c r="AE72" s="5">
</c>
      <c r="AF72" s="5">
</c>
      <c r="AG72" s="5">
</c>
      <c r="AH72" s="5">
</c>
      <c r="AI72" s="5">
</c>
      <c r="AJ72" s="5">
</c>
    </row>
    <row r="73" ht="81" customHeight="1">
      <c r="A73" s="6">
</c>
      <c r="B73" s="6">
</c>
      <c r="C73" s="9">
</c>
      <c r="D73" s="9">
</c>
      <c r="E73" s="6">
</c>
      <c r="F73" s="5">
</c>
      <c r="G73" s="10" cm="1" t="str">
        <f t="array" ref="G73">IF(F73="","",SUBSTITUTE(SUBSTITUTE(SUBSTITUTE(SUBSTITUTE(F73,"&lt;li&gt;",CHAR(10)),"&lt;/li&gt;",""),"&lt;br&gt;",CHAR(10)),"&lt;strong&gt;",""))</f>
        <v/>
      </c>
      <c r="H73" s="10" cm="1" t="str">
        <f t="array" ref="H73">IF(G73="","",SUBSTITUTE(SUBSTITUTE(SUBSTITUTE(SUBSTITUTE(SUBSTITUTE(G73,"&lt;p&gt;",""),"&lt;/p&gt;",""),"&lt;ul&gt;",""),"&lt;/ul&gt;",""),"&lt;/strong&gt;",""))</f>
        <v/>
      </c>
      <c r="I73" s="11" cm="1" t="str">
        <f t="array" ref="I73">IF(C73="","",IF(OR(H73="",H73=0,H73=FALSE),"-",H73))</f>
        <v/>
      </c>
      <c r="J73" s="5">
</c>
      <c r="K73" s="6">
</c>
      <c r="L73" s="6" cm="1" t="str">
        <f t="array" ref="L73">IF(C73="","",IF(K73="Mort / Plus rien à faire","KO","OK"))</f>
        <v/>
      </c>
      <c r="M73" s="12">
</c>
      <c r="N73" s="12" cm="1" t="str">
        <f t="array" ref="N73">IF(OR(C73="",M73="",M73=0),"",M73)</f>
        <v/>
      </c>
      <c r="O73" s="12">
</c>
      <c r="P73" s="12" cm="1" t="str">
        <f t="array" ref="P73">IF(C73="","",IF(OR(O73="",O73=0),"-",O73))</f>
        <v/>
      </c>
      <c r="Q73" s="13">
</c>
      <c r="R73" s="9" cm="1" t="str">
        <f t="array" ref="R73">IF(C73="","",ROUND(Q73/1000000,3)&amp;" M€")</f>
        <v/>
      </c>
      <c r="S73" s="9">
</c>
      <c r="T73" s="9" cm="1" t="str">
        <f t="array" ref="T73">IF(C73="","",SUBSTITUTE(S73,"","")&amp;"%")</f>
        <v/>
      </c>
      <c r="U73" s="11" cm="1" t="str">
        <f t="array" ref="U73">IF(($N73="")*($P73=""),"",IF(($N73&lt;&gt;"")*($N73&gt;TODAY()-9)*($N73&lt;TODAY()+1)*($P73&lt;&gt;"")*($P73&gt;=TODAY())*($P73&lt;=TODAY()+13),"Semaine passée &amp; à venir",IF(($N73&lt;&gt;"")*($N73&gt;TODAY()-9)*($N73&lt;TODAY()+1),"Semaine passée",IF(($P73&lt;&gt;"")*($P73&gt;=TODAY())*($P73&lt;=TODAY()+13),"À venir","Autre"))))</f>
        <v/>
      </c>
      <c r="V73" s="5" cm="1" t="n">
        <f t="array" ref="V73">IF(C73&lt;&gt;"",1,0)</f>
        <v>0</v>
      </c>
      <c r="W73" s="5">
</c>
      <c r="X73" s="5">
</c>
      <c r="Y73" s="5">
</c>
      <c r="Z73" s="5">
</c>
      <c r="AA73" s="5">
</c>
      <c r="AB73" s="5">
</c>
      <c r="AC73" s="5">
</c>
      <c r="AD73" s="5">
</c>
      <c r="AE73" s="5">
</c>
      <c r="AF73" s="5">
</c>
      <c r="AG73" s="5">
</c>
      <c r="AH73" s="5">
</c>
      <c r="AI73" s="5">
</c>
      <c r="AJ73" s="5">
</c>
    </row>
    <row r="74" ht="81" customHeight="1">
      <c r="A74" s="6">
</c>
      <c r="B74" s="6">
</c>
      <c r="C74" s="9">
</c>
      <c r="D74" s="9">
</c>
      <c r="E74" s="6">
</c>
      <c r="F74" s="5">
</c>
      <c r="G74" s="10" cm="1" t="str">
        <f t="array" ref="G74">IF(F74="","",SUBSTITUTE(SUBSTITUTE(SUBSTITUTE(SUBSTITUTE(F74,"&lt;li&gt;",CHAR(10)),"&lt;/li&gt;",""),"&lt;br&gt;",CHAR(10)),"&lt;strong&gt;",""))</f>
        <v/>
      </c>
      <c r="H74" s="10" cm="1" t="str">
        <f t="array" ref="H74">IF(G74="","",SUBSTITUTE(SUBSTITUTE(SUBSTITUTE(SUBSTITUTE(SUBSTITUTE(G74,"&lt;p&gt;",""),"&lt;/p&gt;",""),"&lt;ul&gt;",""),"&lt;/ul&gt;",""),"&lt;/strong&gt;",""))</f>
        <v/>
      </c>
      <c r="I74" s="11" cm="1" t="str">
        <f t="array" ref="I74">IF(C74="","",IF(OR(H74="",H74=0,H74=FALSE),"-",H74))</f>
        <v/>
      </c>
      <c r="J74" s="5">
</c>
      <c r="K74" s="6">
</c>
      <c r="L74" s="6" cm="1" t="str">
        <f t="array" ref="L74">IF(C74="","",IF(K74="Mort / Plus rien à faire","KO","OK"))</f>
        <v/>
      </c>
      <c r="M74" s="12">
</c>
      <c r="N74" s="12" cm="1" t="str">
        <f t="array" ref="N74">IF(OR(C74="",M74="",M74=0),"",M74)</f>
        <v/>
      </c>
      <c r="O74" s="12">
</c>
      <c r="P74" s="12" cm="1" t="str">
        <f t="array" ref="P74">IF(C74="","",IF(OR(O74="",O74=0),"-",O74))</f>
        <v/>
      </c>
      <c r="Q74" s="13">
</c>
      <c r="R74" s="9" cm="1" t="str">
        <f t="array" ref="R74">IF(C74="","",ROUND(Q74/1000000,3)&amp;" M€")</f>
        <v/>
      </c>
      <c r="S74" s="9">
</c>
      <c r="T74" s="9" cm="1" t="str">
        <f t="array" ref="T74">IF(C74="","",SUBSTITUTE(S74,"","")&amp;"%")</f>
        <v/>
      </c>
      <c r="U74" s="11" cm="1" t="str">
        <f t="array" ref="U74">IF(($N74="")*($P74=""),"",IF(($N74&lt;&gt;"")*($N74&gt;TODAY()-9)*($N74&lt;TODAY()+1)*($P74&lt;&gt;"")*($P74&gt;=TODAY())*($P74&lt;=TODAY()+13),"Semaine passée &amp; à venir",IF(($N74&lt;&gt;"")*($N74&gt;TODAY()-9)*($N74&lt;TODAY()+1),"Semaine passée",IF(($P74&lt;&gt;"")*($P74&gt;=TODAY())*($P74&lt;=TODAY()+13),"À venir","Autre"))))</f>
        <v/>
      </c>
      <c r="V74" s="5" cm="1" t="n">
        <f t="array" ref="V74">IF(C74&lt;&gt;"",1,0)</f>
        <v>0</v>
      </c>
      <c r="W74" s="5">
</c>
      <c r="X74" s="5">
</c>
      <c r="Y74" s="5">
</c>
      <c r="Z74" s="5">
</c>
      <c r="AA74" s="5">
</c>
      <c r="AB74" s="5">
</c>
      <c r="AC74" s="5">
</c>
      <c r="AD74" s="5">
</c>
      <c r="AE74" s="5">
</c>
      <c r="AF74" s="5">
</c>
      <c r="AG74" s="5">
</c>
      <c r="AH74" s="5">
</c>
      <c r="AI74" s="5">
</c>
      <c r="AJ74" s="5">
</c>
    </row>
    <row r="75" ht="81" customHeight="1">
      <c r="A75" s="6">
</c>
      <c r="B75" s="6">
</c>
      <c r="C75" s="9">
</c>
      <c r="D75" s="9">
</c>
      <c r="E75" s="6">
</c>
      <c r="F75" s="5">
</c>
      <c r="G75" s="10" cm="1" t="str">
        <f t="array" ref="G75">IF(F75="","",SUBSTITUTE(SUBSTITUTE(SUBSTITUTE(SUBSTITUTE(F75,"&lt;li&gt;",CHAR(10)),"&lt;/li&gt;",""),"&lt;br&gt;",CHAR(10)),"&lt;strong&gt;",""))</f>
        <v/>
      </c>
      <c r="H75" s="10" cm="1" t="str">
        <f t="array" ref="H75">IF(G75="","",SUBSTITUTE(SUBSTITUTE(SUBSTITUTE(SUBSTITUTE(SUBSTITUTE(G75,"&lt;p&gt;",""),"&lt;/p&gt;",""),"&lt;ul&gt;",""),"&lt;/ul&gt;",""),"&lt;/strong&gt;",""))</f>
        <v/>
      </c>
      <c r="I75" s="11" cm="1" t="str">
        <f t="array" ref="I75">IF(C75="","",IF(OR(H75="",H75=0,H75=FALSE),"-",H75))</f>
        <v/>
      </c>
      <c r="J75" s="5">
</c>
      <c r="K75" s="6">
</c>
      <c r="L75" s="6" cm="1" t="str">
        <f t="array" ref="L75">IF(C75="","",IF(K75="Mort / Plus rien à faire","KO","OK"))</f>
        <v/>
      </c>
      <c r="M75" s="12">
</c>
      <c r="N75" s="12" cm="1" t="str">
        <f t="array" ref="N75">IF(OR(C75="",M75="",M75=0),"",M75)</f>
        <v/>
      </c>
      <c r="O75" s="12">
</c>
      <c r="P75" s="12" cm="1" t="str">
        <f t="array" ref="P75">IF(C75="","",IF(OR(O75="",O75=0),"-",O75))</f>
        <v/>
      </c>
      <c r="Q75" s="13">
</c>
      <c r="R75" s="9" cm="1" t="str">
        <f t="array" ref="R75">IF(C75="","",ROUND(Q75/1000000,3)&amp;" M€")</f>
        <v/>
      </c>
      <c r="S75" s="9">
</c>
      <c r="T75" s="9" cm="1" t="str">
        <f t="array" ref="T75">IF(C75="","",SUBSTITUTE(S75,"","")&amp;"%")</f>
        <v/>
      </c>
      <c r="U75" s="11" cm="1" t="str">
        <f t="array" ref="U75">IF(($N75="")*($P75=""),"",IF(($N75&lt;&gt;"")*($N75&gt;TODAY()-9)*($N75&lt;TODAY()+1)*($P75&lt;&gt;"")*($P75&gt;=TODAY())*($P75&lt;=TODAY()+13),"Semaine passée &amp; à venir",IF(($N75&lt;&gt;"")*($N75&gt;TODAY()-9)*($N75&lt;TODAY()+1),"Semaine passée",IF(($P75&lt;&gt;"")*($P75&gt;=TODAY())*($P75&lt;=TODAY()+13),"À venir","Autre"))))</f>
        <v/>
      </c>
      <c r="V75" s="5" cm="1" t="n">
        <f t="array" ref="V75">IF(C75&lt;&gt;"",1,0)</f>
        <v>0</v>
      </c>
      <c r="W75" s="5">
</c>
      <c r="X75" s="5">
</c>
      <c r="Y75" s="5">
</c>
      <c r="Z75" s="5">
</c>
      <c r="AA75" s="5">
</c>
      <c r="AB75" s="5">
</c>
      <c r="AC75" s="5">
</c>
      <c r="AD75" s="5">
</c>
      <c r="AE75" s="5">
</c>
      <c r="AF75" s="5">
</c>
      <c r="AG75" s="5">
</c>
      <c r="AH75" s="5">
</c>
      <c r="AI75" s="5">
</c>
      <c r="AJ75" s="5">
</c>
    </row>
    <row r="76" ht="81" customHeight="1">
      <c r="A76" s="6">
</c>
      <c r="B76" s="6">
</c>
      <c r="C76" s="9">
</c>
      <c r="D76" s="9">
</c>
      <c r="E76" s="6">
</c>
      <c r="F76" s="5">
</c>
      <c r="G76" s="10" cm="1" t="str">
        <f t="array" ref="G76">IF(F76="","",SUBSTITUTE(SUBSTITUTE(SUBSTITUTE(SUBSTITUTE(F76,"&lt;li&gt;",CHAR(10)),"&lt;/li&gt;",""),"&lt;br&gt;",CHAR(10)),"&lt;strong&gt;",""))</f>
        <v/>
      </c>
      <c r="H76" s="10" cm="1" t="str">
        <f t="array" ref="H76">IF(G76="","",SUBSTITUTE(SUBSTITUTE(SUBSTITUTE(SUBSTITUTE(SUBSTITUTE(G76,"&lt;p&gt;",""),"&lt;/p&gt;",""),"&lt;ul&gt;",""),"&lt;/ul&gt;",""),"&lt;/strong&gt;",""))</f>
        <v/>
      </c>
      <c r="I76" s="11" cm="1" t="str">
        <f t="array" ref="I76">IF(C76="","",IF(OR(H76="",H76=0,H76=FALSE),"-",H76))</f>
        <v/>
      </c>
      <c r="J76" s="5">
</c>
      <c r="K76" s="6">
</c>
      <c r="L76" s="6" cm="1" t="str">
        <f t="array" ref="L76">IF(C76="","",IF(K76="Mort / Plus rien à faire","KO","OK"))</f>
        <v/>
      </c>
      <c r="M76" s="12">
</c>
      <c r="N76" s="12" cm="1" t="str">
        <f t="array" ref="N76">IF(OR(C76="",M76="",M76=0),"",M76)</f>
        <v/>
      </c>
      <c r="O76" s="12">
</c>
      <c r="P76" s="12" cm="1" t="str">
        <f t="array" ref="P76">IF(C76="","",IF(OR(O76="",O76=0),"-",O76))</f>
        <v/>
      </c>
      <c r="Q76" s="13">
</c>
      <c r="R76" s="9" cm="1" t="str">
        <f t="array" ref="R76">IF(C76="","",ROUND(Q76/1000000,3)&amp;" M€")</f>
        <v/>
      </c>
      <c r="S76" s="9">
</c>
      <c r="T76" s="9" cm="1" t="str">
        <f t="array" ref="T76">IF(C76="","",SUBSTITUTE(S76,"","")&amp;"%")</f>
        <v/>
      </c>
      <c r="U76" s="11" cm="1" t="str">
        <f t="array" ref="U76">IF(($N76="")*($P76=""),"",IF(($N76&lt;&gt;"")*($N76&gt;TODAY()-9)*($N76&lt;TODAY()+1)*($P76&lt;&gt;"")*($P76&gt;=TODAY())*($P76&lt;=TODAY()+13),"Semaine passée &amp; à venir",IF(($N76&lt;&gt;"")*($N76&gt;TODAY()-9)*($N76&lt;TODAY()+1),"Semaine passée",IF(($P76&lt;&gt;"")*($P76&gt;=TODAY())*($P76&lt;=TODAY()+13),"À venir","Autre"))))</f>
        <v/>
      </c>
      <c r="V76" s="5" cm="1" t="n">
        <f t="array" ref="V76">IF(C76&lt;&gt;"",1,0)</f>
        <v>0</v>
      </c>
      <c r="W76" s="5">
</c>
      <c r="X76" s="5">
</c>
      <c r="Y76" s="5">
</c>
      <c r="Z76" s="5">
</c>
      <c r="AA76" s="5">
</c>
      <c r="AB76" s="5">
</c>
      <c r="AC76" s="5">
</c>
      <c r="AD76" s="5">
</c>
      <c r="AE76" s="5">
</c>
      <c r="AF76" s="5">
</c>
      <c r="AG76" s="5">
</c>
      <c r="AH76" s="5">
</c>
      <c r="AI76" s="5">
</c>
      <c r="AJ76" s="5">
</c>
    </row>
    <row r="77" ht="81" customHeight="1">
      <c r="A77" s="6">
</c>
      <c r="B77" s="6">
</c>
      <c r="C77" s="9">
</c>
      <c r="D77" s="9">
</c>
      <c r="E77" s="6">
</c>
      <c r="F77" s="5">
</c>
      <c r="G77" s="10" cm="1" t="str">
        <f t="array" ref="G77">IF(F77="","",SUBSTITUTE(SUBSTITUTE(SUBSTITUTE(SUBSTITUTE(F77,"&lt;li&gt;",CHAR(10)),"&lt;/li&gt;",""),"&lt;br&gt;",CHAR(10)),"&lt;strong&gt;",""))</f>
        <v/>
      </c>
      <c r="H77" s="10" cm="1" t="str">
        <f t="array" ref="H77">IF(G77="","",SUBSTITUTE(SUBSTITUTE(SUBSTITUTE(SUBSTITUTE(SUBSTITUTE(G77,"&lt;p&gt;",""),"&lt;/p&gt;",""),"&lt;ul&gt;",""),"&lt;/ul&gt;",""),"&lt;/strong&gt;",""))</f>
        <v/>
      </c>
      <c r="I77" s="11" cm="1" t="str">
        <f t="array" ref="I77">IF(C77="","",IF(OR(H77="",H77=0,H77=FALSE),"-",H77))</f>
        <v/>
      </c>
      <c r="J77" s="5">
</c>
      <c r="K77" s="6">
</c>
      <c r="L77" s="6" cm="1" t="str">
        <f t="array" ref="L77">IF(C77="","",IF(K77="Mort / Plus rien à faire","KO","OK"))</f>
        <v/>
      </c>
      <c r="M77" s="12">
</c>
      <c r="N77" s="12" cm="1" t="str">
        <f t="array" ref="N77">IF(OR(C77="",M77="",M77=0),"",M77)</f>
        <v/>
      </c>
      <c r="O77" s="12">
</c>
      <c r="P77" s="12" cm="1" t="str">
        <f t="array" ref="P77">IF(C77="","",IF(OR(O77="",O77=0),"-",O77))</f>
        <v/>
      </c>
      <c r="Q77" s="13">
</c>
      <c r="R77" s="9" cm="1" t="str">
        <f t="array" ref="R77">IF(C77="","",ROUND(Q77/1000000,3)&amp;" M€")</f>
        <v/>
      </c>
      <c r="S77" s="9">
</c>
      <c r="T77" s="9" cm="1" t="str">
        <f t="array" ref="T77">IF(C77="","",SUBSTITUTE(S77,"","")&amp;"%")</f>
        <v/>
      </c>
      <c r="U77" s="11" cm="1" t="str">
        <f t="array" ref="U77">IF(($N77="")*($P77=""),"",IF(($N77&lt;&gt;"")*($N77&gt;TODAY()-9)*($N77&lt;TODAY()+1)*($P77&lt;&gt;"")*($P77&gt;=TODAY())*($P77&lt;=TODAY()+13),"Semaine passée &amp; à venir",IF(($N77&lt;&gt;"")*($N77&gt;TODAY()-9)*($N77&lt;TODAY()+1),"Semaine passée",IF(($P77&lt;&gt;"")*($P77&gt;=TODAY())*($P77&lt;=TODAY()+13),"À venir","Autre"))))</f>
        <v/>
      </c>
      <c r="V77" s="5" cm="1" t="n">
        <f t="array" ref="V77">IF(C77&lt;&gt;"",1,0)</f>
        <v>0</v>
      </c>
      <c r="W77" s="5">
</c>
      <c r="X77" s="5">
</c>
      <c r="Y77" s="5">
</c>
      <c r="Z77" s="5">
</c>
      <c r="AA77" s="5">
</c>
      <c r="AB77" s="5">
</c>
      <c r="AC77" s="5">
</c>
      <c r="AD77" s="5">
</c>
      <c r="AE77" s="5">
</c>
      <c r="AF77" s="5">
</c>
      <c r="AG77" s="5">
</c>
      <c r="AH77" s="5">
</c>
      <c r="AI77" s="5">
</c>
      <c r="AJ77" s="5">
</c>
    </row>
    <row r="78" ht="81" customHeight="1">
      <c r="A78" s="6">
</c>
      <c r="B78" s="6">
</c>
      <c r="C78" s="9">
</c>
      <c r="D78" s="9">
</c>
      <c r="E78" s="6">
</c>
      <c r="F78" s="5">
</c>
      <c r="G78" s="10" cm="1" t="str">
        <f t="array" ref="G78">IF(F78="","",SUBSTITUTE(SUBSTITUTE(SUBSTITUTE(SUBSTITUTE(F78,"&lt;li&gt;",CHAR(10)),"&lt;/li&gt;",""),"&lt;br&gt;",CHAR(10)),"&lt;strong&gt;",""))</f>
        <v/>
      </c>
      <c r="H78" s="10" cm="1" t="str">
        <f t="array" ref="H78">IF(G78="","",SUBSTITUTE(SUBSTITUTE(SUBSTITUTE(SUBSTITUTE(SUBSTITUTE(G78,"&lt;p&gt;",""),"&lt;/p&gt;",""),"&lt;ul&gt;",""),"&lt;/ul&gt;",""),"&lt;/strong&gt;",""))</f>
        <v/>
      </c>
      <c r="I78" s="11" cm="1" t="str">
        <f t="array" ref="I78">IF(C78="","",IF(OR(H78="",H78=0,H78=FALSE),"-",H78))</f>
        <v/>
      </c>
      <c r="J78" s="5">
</c>
      <c r="K78" s="6">
</c>
      <c r="L78" s="6" cm="1" t="str">
        <f t="array" ref="L78">IF(C78="","",IF(K78="Mort / Plus rien à faire","KO","OK"))</f>
        <v/>
      </c>
      <c r="M78" s="12">
</c>
      <c r="N78" s="12" cm="1" t="str">
        <f t="array" ref="N78">IF(OR(C78="",M78="",M78=0),"",M78)</f>
        <v/>
      </c>
      <c r="O78" s="12">
</c>
      <c r="P78" s="12" cm="1" t="str">
        <f t="array" ref="P78">IF(C78="","",IF(OR(O78="",O78=0),"-",O78))</f>
        <v/>
      </c>
      <c r="Q78" s="13">
</c>
      <c r="R78" s="9" cm="1" t="str">
        <f t="array" ref="R78">IF(C78="","",ROUND(Q78/1000000,3)&amp;" M€")</f>
        <v/>
      </c>
      <c r="S78" s="9">
</c>
      <c r="T78" s="9" cm="1" t="str">
        <f t="array" ref="T78">IF(C78="","",SUBSTITUTE(S78,"","")&amp;"%")</f>
        <v/>
      </c>
      <c r="U78" s="11" cm="1" t="str">
        <f t="array" ref="U78">IF(($N78="")*($P78=""),"",IF(($N78&lt;&gt;"")*($N78&gt;TODAY()-9)*($N78&lt;TODAY()+1)*($P78&lt;&gt;"")*($P78&gt;=TODAY())*($P78&lt;=TODAY()+13),"Semaine passée &amp; à venir",IF(($N78&lt;&gt;"")*($N78&gt;TODAY()-9)*($N78&lt;TODAY()+1),"Semaine passée",IF(($P78&lt;&gt;"")*($P78&gt;=TODAY())*($P78&lt;=TODAY()+13),"À venir","Autre"))))</f>
        <v/>
      </c>
      <c r="V78" s="5" cm="1" t="n">
        <f t="array" ref="V78">IF(C78&lt;&gt;"",1,0)</f>
        <v>0</v>
      </c>
      <c r="W78" s="5">
</c>
      <c r="X78" s="5">
</c>
      <c r="Y78" s="5">
</c>
      <c r="Z78" s="5">
</c>
      <c r="AA78" s="5">
</c>
      <c r="AB78" s="5">
</c>
      <c r="AC78" s="5">
</c>
      <c r="AD78" s="5">
</c>
      <c r="AE78" s="5">
</c>
      <c r="AF78" s="5">
</c>
      <c r="AG78" s="5">
</c>
      <c r="AH78" s="5">
</c>
      <c r="AI78" s="5">
</c>
      <c r="AJ78" s="5">
</c>
    </row>
    <row r="79" ht="81" customHeight="1">
      <c r="A79" s="6">
</c>
      <c r="B79" s="6">
</c>
      <c r="C79" s="9">
</c>
      <c r="D79" s="9">
</c>
      <c r="E79" s="6">
</c>
      <c r="F79" s="5">
</c>
      <c r="G79" s="10" cm="1" t="str">
        <f t="array" ref="G79">IF(F79="","",SUBSTITUTE(SUBSTITUTE(SUBSTITUTE(SUBSTITUTE(F79,"&lt;li&gt;",CHAR(10)),"&lt;/li&gt;",""),"&lt;br&gt;",CHAR(10)),"&lt;strong&gt;",""))</f>
        <v/>
      </c>
      <c r="H79" s="10" cm="1" t="str">
        <f t="array" ref="H79">IF(G79="","",SUBSTITUTE(SUBSTITUTE(SUBSTITUTE(SUBSTITUTE(SUBSTITUTE(G79,"&lt;p&gt;",""),"&lt;/p&gt;",""),"&lt;ul&gt;",""),"&lt;/ul&gt;",""),"&lt;/strong&gt;",""))</f>
        <v/>
      </c>
      <c r="I79" s="11" cm="1" t="str">
        <f t="array" ref="I79">IF(C79="","",IF(OR(H79="",H79=0,H79=FALSE),"-",H79))</f>
        <v/>
      </c>
      <c r="J79" s="5">
</c>
      <c r="K79" s="6">
</c>
      <c r="L79" s="6" cm="1" t="str">
        <f t="array" ref="L79">IF(C79="","",IF(K79="Mort / Plus rien à faire","KO","OK"))</f>
        <v/>
      </c>
      <c r="M79" s="12">
</c>
      <c r="N79" s="12" cm="1" t="str">
        <f t="array" ref="N79">IF(OR(C79="",M79="",M79=0),"",M79)</f>
        <v/>
      </c>
      <c r="O79" s="12">
</c>
      <c r="P79" s="12" cm="1" t="str">
        <f t="array" ref="P79">IF(C79="","",IF(OR(O79="",O79=0),"-",O79))</f>
        <v/>
      </c>
      <c r="Q79" s="13">
</c>
      <c r="R79" s="9" cm="1" t="str">
        <f t="array" ref="R79">IF(C79="","",ROUND(Q79/1000000,3)&amp;" M€")</f>
        <v/>
      </c>
      <c r="S79" s="9">
</c>
      <c r="T79" s="9" cm="1" t="str">
        <f t="array" ref="T79">IF(C79="","",SUBSTITUTE(S79,"","")&amp;"%")</f>
        <v/>
      </c>
      <c r="U79" s="11" cm="1" t="str">
        <f t="array" ref="U79">IF(($N79="")*($P79=""),"",IF(($N79&lt;&gt;"")*($N79&gt;TODAY()-9)*($N79&lt;TODAY()+1)*($P79&lt;&gt;"")*($P79&gt;=TODAY())*($P79&lt;=TODAY()+13),"Semaine passée &amp; à venir",IF(($N79&lt;&gt;"")*($N79&gt;TODAY()-9)*($N79&lt;TODAY()+1),"Semaine passée",IF(($P79&lt;&gt;"")*($P79&gt;=TODAY())*($P79&lt;=TODAY()+13),"À venir","Autre"))))</f>
        <v/>
      </c>
      <c r="V79" s="5" cm="1" t="n">
        <f t="array" ref="V79">IF(C79&lt;&gt;"",1,0)</f>
        <v>0</v>
      </c>
      <c r="W79" s="5">
</c>
      <c r="X79" s="5">
</c>
      <c r="Y79" s="5">
</c>
      <c r="Z79" s="5">
</c>
      <c r="AA79" s="5">
</c>
      <c r="AB79" s="5">
</c>
      <c r="AC79" s="5">
</c>
      <c r="AD79" s="5">
</c>
      <c r="AE79" s="5">
</c>
      <c r="AF79" s="5">
</c>
      <c r="AG79" s="5">
</c>
      <c r="AH79" s="5">
</c>
      <c r="AI79" s="5">
</c>
      <c r="AJ79" s="5">
</c>
    </row>
    <row r="80" ht="81" customHeight="1">
      <c r="A80" s="6">
</c>
      <c r="B80" s="6">
</c>
      <c r="C80" s="9">
</c>
      <c r="D80" s="9">
</c>
      <c r="E80" s="6">
</c>
      <c r="F80" s="5">
</c>
      <c r="G80" s="10" cm="1" t="str">
        <f t="array" ref="G80">IF(F80="","",SUBSTITUTE(SUBSTITUTE(SUBSTITUTE(SUBSTITUTE(F80,"&lt;li&gt;",CHAR(10)),"&lt;/li&gt;",""),"&lt;br&gt;",CHAR(10)),"&lt;strong&gt;",""))</f>
        <v/>
      </c>
      <c r="H80" s="10" cm="1" t="str">
        <f t="array" ref="H80">IF(G80="","",SUBSTITUTE(SUBSTITUTE(SUBSTITUTE(SUBSTITUTE(SUBSTITUTE(G80,"&lt;p&gt;",""),"&lt;/p&gt;",""),"&lt;ul&gt;",""),"&lt;/ul&gt;",""),"&lt;/strong&gt;",""))</f>
        <v/>
      </c>
      <c r="I80" s="11" cm="1" t="str">
        <f t="array" ref="I80">IF(C80="","",IF(OR(H80="",H80=0,H80=FALSE),"-",H80))</f>
        <v/>
      </c>
      <c r="J80" s="5">
</c>
      <c r="K80" s="6">
</c>
      <c r="L80" s="6" cm="1" t="str">
        <f t="array" ref="L80">IF(C80="","",IF(K80="Mort / Plus rien à faire","KO","OK"))</f>
        <v/>
      </c>
      <c r="M80" s="12">
</c>
      <c r="N80" s="12" cm="1" t="str">
        <f t="array" ref="N80">IF(OR(C80="",M80="",M80=0),"",M80)</f>
        <v/>
      </c>
      <c r="O80" s="12">
</c>
      <c r="P80" s="12" cm="1" t="str">
        <f t="array" ref="P80">IF(C80="","",IF(OR(O80="",O80=0),"-",O80))</f>
        <v/>
      </c>
      <c r="Q80" s="13">
</c>
      <c r="R80" s="9" cm="1" t="str">
        <f t="array" ref="R80">IF(C80="","",ROUND(Q80/1000000,3)&amp;" M€")</f>
        <v/>
      </c>
      <c r="S80" s="9">
</c>
      <c r="T80" s="9" cm="1" t="str">
        <f t="array" ref="T80">IF(C80="","",SUBSTITUTE(S80,"","")&amp;"%")</f>
        <v/>
      </c>
      <c r="U80" s="11" cm="1" t="str">
        <f t="array" ref="U80">IF(($N80="")*($P80=""),"",IF(($N80&lt;&gt;"")*($N80&gt;TODAY()-9)*($N80&lt;TODAY()+1)*($P80&lt;&gt;"")*($P80&gt;=TODAY())*($P80&lt;=TODAY()+13),"Semaine passée &amp; à venir",IF(($N80&lt;&gt;"")*($N80&gt;TODAY()-9)*($N80&lt;TODAY()+1),"Semaine passée",IF(($P80&lt;&gt;"")*($P80&gt;=TODAY())*($P80&lt;=TODAY()+13),"À venir","Autre"))))</f>
        <v/>
      </c>
      <c r="V80" s="5" cm="1" t="n">
        <f t="array" ref="V80">IF(C80&lt;&gt;"",1,0)</f>
        <v>0</v>
      </c>
      <c r="W80" s="5">
</c>
      <c r="X80" s="5">
</c>
      <c r="Y80" s="5">
</c>
      <c r="Z80" s="5">
</c>
      <c r="AA80" s="5">
</c>
      <c r="AB80" s="5">
</c>
      <c r="AC80" s="5">
</c>
      <c r="AD80" s="5">
</c>
      <c r="AE80" s="5">
</c>
      <c r="AF80" s="5">
</c>
      <c r="AG80" s="5">
</c>
      <c r="AH80" s="5">
</c>
      <c r="AI80" s="5">
</c>
      <c r="AJ80" s="5">
</c>
    </row>
    <row r="81" ht="81" customHeight="1">
      <c r="A81" s="6">
</c>
      <c r="B81" s="6">
</c>
      <c r="C81" s="9">
</c>
      <c r="D81" s="9">
</c>
      <c r="E81" s="6">
</c>
      <c r="F81" s="5">
</c>
      <c r="G81" s="10" cm="1" t="str">
        <f t="array" ref="G81">IF(F81="","",SUBSTITUTE(SUBSTITUTE(SUBSTITUTE(SUBSTITUTE(F81,"&lt;li&gt;",CHAR(10)),"&lt;/li&gt;",""),"&lt;br&gt;",CHAR(10)),"&lt;strong&gt;",""))</f>
        <v/>
      </c>
      <c r="H81" s="10" cm="1" t="str">
        <f t="array" ref="H81">IF(G81="","",SUBSTITUTE(SUBSTITUTE(SUBSTITUTE(SUBSTITUTE(SUBSTITUTE(G81,"&lt;p&gt;",""),"&lt;/p&gt;",""),"&lt;ul&gt;",""),"&lt;/ul&gt;",""),"&lt;/strong&gt;",""))</f>
        <v/>
      </c>
      <c r="I81" s="11" cm="1" t="str">
        <f t="array" ref="I81">IF(C81="","",IF(OR(H81="",H81=0,H81=FALSE),"-",H81))</f>
        <v/>
      </c>
      <c r="J81" s="5">
</c>
      <c r="K81" s="6">
</c>
      <c r="L81" s="6" cm="1" t="str">
        <f t="array" ref="L81">IF(C81="","",IF(K81="Mort / Plus rien à faire","KO","OK"))</f>
        <v/>
      </c>
      <c r="M81" s="12">
</c>
      <c r="N81" s="12" cm="1" t="str">
        <f t="array" ref="N81">IF(OR(C81="",M81="",M81=0),"",M81)</f>
        <v/>
      </c>
      <c r="O81" s="12">
</c>
      <c r="P81" s="12" cm="1" t="str">
        <f t="array" ref="P81">IF(C81="","",IF(OR(O81="",O81=0),"-",O81))</f>
        <v/>
      </c>
      <c r="Q81" s="13">
</c>
      <c r="R81" s="9" cm="1" t="str">
        <f t="array" ref="R81">IF(C81="","",ROUND(Q81/1000000,3)&amp;" M€")</f>
        <v/>
      </c>
      <c r="S81" s="9">
</c>
      <c r="T81" s="9" cm="1" t="str">
        <f t="array" ref="T81">IF(C81="","",SUBSTITUTE(S81,"","")&amp;"%")</f>
        <v/>
      </c>
      <c r="U81" s="11" cm="1" t="str">
        <f t="array" ref="U81">IF(($N81="")*($P81=""),"",IF(($N81&lt;&gt;"")*($N81&gt;TODAY()-9)*($N81&lt;TODAY()+1)*($P81&lt;&gt;"")*($P81&gt;=TODAY())*($P81&lt;=TODAY()+13),"Semaine passée &amp; à venir",IF(($N81&lt;&gt;"")*($N81&gt;TODAY()-9)*($N81&lt;TODAY()+1),"Semaine passée",IF(($P81&lt;&gt;"")*($P81&gt;=TODAY())*($P81&lt;=TODAY()+13),"À venir","Autre"))))</f>
        <v/>
      </c>
      <c r="V81" s="5" cm="1" t="n">
        <f t="array" ref="V81">IF(C81&lt;&gt;"",1,0)</f>
        <v>0</v>
      </c>
      <c r="W81" s="5">
</c>
      <c r="X81" s="5">
</c>
      <c r="Y81" s="5">
</c>
      <c r="Z81" s="5">
</c>
      <c r="AA81" s="5">
</c>
      <c r="AB81" s="5">
</c>
      <c r="AC81" s="5">
</c>
      <c r="AD81" s="5">
</c>
      <c r="AE81" s="5">
</c>
      <c r="AF81" s="5">
</c>
      <c r="AG81" s="5">
</c>
      <c r="AH81" s="5">
</c>
      <c r="AI81" s="5">
</c>
      <c r="AJ81" s="5">
</c>
    </row>
    <row r="82" ht="81" customHeight="1">
      <c r="A82" s="6">
</c>
      <c r="B82" s="6">
</c>
      <c r="C82" s="9">
</c>
      <c r="D82" s="9">
</c>
      <c r="E82" s="6">
</c>
      <c r="F82" s="5">
</c>
      <c r="G82" s="10" cm="1" t="str">
        <f t="array" ref="G82">IF(F82="","",SUBSTITUTE(SUBSTITUTE(SUBSTITUTE(SUBSTITUTE(F82,"&lt;li&gt;",CHAR(10)),"&lt;/li&gt;",""),"&lt;br&gt;",CHAR(10)),"&lt;strong&gt;",""))</f>
        <v/>
      </c>
      <c r="H82" s="10" cm="1" t="str">
        <f t="array" ref="H82">IF(G82="","",SUBSTITUTE(SUBSTITUTE(SUBSTITUTE(SUBSTITUTE(SUBSTITUTE(G82,"&lt;p&gt;",""),"&lt;/p&gt;",""),"&lt;ul&gt;",""),"&lt;/ul&gt;",""),"&lt;/strong&gt;",""))</f>
        <v/>
      </c>
      <c r="I82" s="11" cm="1" t="str">
        <f t="array" ref="I82">IF(C82="","",IF(OR(H82="",H82=0,H82=FALSE),"-",H82))</f>
        <v/>
      </c>
      <c r="J82" s="5">
</c>
      <c r="K82" s="6">
</c>
      <c r="L82" s="6" cm="1" t="str">
        <f t="array" ref="L82">IF(C82="","",IF(K82="Mort / Plus rien à faire","KO","OK"))</f>
        <v/>
      </c>
      <c r="M82" s="12">
</c>
      <c r="N82" s="12" cm="1" t="str">
        <f t="array" ref="N82">IF(OR(C82="",M82="",M82=0),"",M82)</f>
        <v/>
      </c>
      <c r="O82" s="12">
</c>
      <c r="P82" s="12" cm="1" t="str">
        <f t="array" ref="P82">IF(C82="","",IF(OR(O82="",O82=0),"-",O82))</f>
        <v/>
      </c>
      <c r="Q82" s="13">
</c>
      <c r="R82" s="9" cm="1" t="str">
        <f t="array" ref="R82">IF(C82="","",ROUND(Q82/1000000,3)&amp;" M€")</f>
        <v/>
      </c>
      <c r="S82" s="9">
</c>
      <c r="T82" s="9" cm="1" t="str">
        <f t="array" ref="T82">IF(C82="","",SUBSTITUTE(S82,"","")&amp;"%")</f>
        <v/>
      </c>
      <c r="U82" s="11" cm="1" t="str">
        <f t="array" ref="U82">IF(($N82="")*($P82=""),"",IF(($N82&lt;&gt;"")*($N82&gt;TODAY()-9)*($N82&lt;TODAY()+1)*($P82&lt;&gt;"")*($P82&gt;=TODAY())*($P82&lt;=TODAY()+13),"Semaine passée &amp; à venir",IF(($N82&lt;&gt;"")*($N82&gt;TODAY()-9)*($N82&lt;TODAY()+1),"Semaine passée",IF(($P82&lt;&gt;"")*($P82&gt;=TODAY())*($P82&lt;=TODAY()+13),"À venir","Autre"))))</f>
        <v/>
      </c>
      <c r="V82" s="5" cm="1" t="n">
        <f t="array" ref="V82">IF(C82&lt;&gt;"",1,0)</f>
        <v>0</v>
      </c>
      <c r="W82" s="5">
</c>
      <c r="X82" s="5">
</c>
      <c r="Y82" s="5">
</c>
      <c r="Z82" s="5">
</c>
      <c r="AA82" s="5">
</c>
      <c r="AB82" s="5">
</c>
      <c r="AC82" s="5">
</c>
      <c r="AD82" s="5">
</c>
      <c r="AE82" s="5">
</c>
      <c r="AF82" s="5">
</c>
      <c r="AG82" s="5">
</c>
      <c r="AH82" s="5">
</c>
      <c r="AI82" s="5">
</c>
      <c r="AJ82" s="5">
</c>
    </row>
    <row r="83" ht="81" customHeight="1">
      <c r="A83" s="6">
</c>
      <c r="B83" s="6">
</c>
      <c r="C83" s="9">
</c>
      <c r="D83" s="9">
</c>
      <c r="E83" s="6">
</c>
      <c r="F83" s="5">
</c>
      <c r="G83" s="10" cm="1" t="str">
        <f t="array" ref="G83">IF(F83="","",SUBSTITUTE(SUBSTITUTE(SUBSTITUTE(SUBSTITUTE(F83,"&lt;li&gt;",CHAR(10)),"&lt;/li&gt;",""),"&lt;br&gt;",CHAR(10)),"&lt;strong&gt;",""))</f>
        <v/>
      </c>
      <c r="H83" s="10" cm="1" t="str">
        <f t="array" ref="H83">IF(G83="","",SUBSTITUTE(SUBSTITUTE(SUBSTITUTE(SUBSTITUTE(SUBSTITUTE(G83,"&lt;p&gt;",""),"&lt;/p&gt;",""),"&lt;ul&gt;",""),"&lt;/ul&gt;",""),"&lt;/strong&gt;",""))</f>
        <v/>
      </c>
      <c r="I83" s="11" cm="1" t="str">
        <f t="array" ref="I83">IF(C83="","",IF(OR(H83="",H83=0,H83=FALSE),"-",H83))</f>
        <v/>
      </c>
      <c r="J83" s="5">
</c>
      <c r="K83" s="6">
</c>
      <c r="L83" s="6" cm="1" t="str">
        <f t="array" ref="L83">IF(C83="","",IF(K83="Mort / Plus rien à faire","KO","OK"))</f>
        <v/>
      </c>
      <c r="M83" s="12">
</c>
      <c r="N83" s="12" cm="1" t="str">
        <f t="array" ref="N83">IF(OR(C83="",M83="",M83=0),"",M83)</f>
        <v/>
      </c>
      <c r="O83" s="12">
</c>
      <c r="P83" s="12" cm="1" t="str">
        <f t="array" ref="P83">IF(C83="","",IF(OR(O83="",O83=0),"-",O83))</f>
        <v/>
      </c>
      <c r="Q83" s="13">
</c>
      <c r="R83" s="9" cm="1" t="str">
        <f t="array" ref="R83">IF(C83="","",ROUND(Q83/1000000,3)&amp;" M€")</f>
        <v/>
      </c>
      <c r="S83" s="9">
</c>
      <c r="T83" s="9" cm="1" t="str">
        <f t="array" ref="T83">IF(C83="","",SUBSTITUTE(S83,"","")&amp;"%")</f>
        <v/>
      </c>
      <c r="U83" s="11" cm="1" t="str">
        <f t="array" ref="U83">IF(($N83="")*($P83=""),"",IF(($N83&lt;&gt;"")*($N83&gt;TODAY()-9)*($N83&lt;TODAY()+1)*($P83&lt;&gt;"")*($P83&gt;=TODAY())*($P83&lt;=TODAY()+13),"Semaine passée &amp; à venir",IF(($N83&lt;&gt;"")*($N83&gt;TODAY()-9)*($N83&lt;TODAY()+1),"Semaine passée",IF(($P83&lt;&gt;"")*($P83&gt;=TODAY())*($P83&lt;=TODAY()+13),"À venir","Autre"))))</f>
        <v/>
      </c>
      <c r="V83" s="5" cm="1" t="n">
        <f t="array" ref="V83">IF(C83&lt;&gt;"",1,0)</f>
        <v>0</v>
      </c>
      <c r="W83" s="5">
</c>
      <c r="X83" s="5">
</c>
      <c r="Y83" s="5">
</c>
      <c r="Z83" s="5">
</c>
      <c r="AA83" s="5">
</c>
      <c r="AB83" s="5">
</c>
      <c r="AC83" s="5">
</c>
      <c r="AD83" s="5">
</c>
      <c r="AE83" s="5">
</c>
      <c r="AF83" s="5">
</c>
      <c r="AG83" s="5">
</c>
      <c r="AH83" s="5">
</c>
      <c r="AI83" s="5">
</c>
      <c r="AJ83" s="5">
</c>
    </row>
    <row r="84" ht="81" customHeight="1">
      <c r="A84" s="6">
</c>
      <c r="B84" s="6">
</c>
      <c r="C84" s="9">
</c>
      <c r="D84" s="9">
</c>
      <c r="E84" s="6">
</c>
      <c r="F84" s="5">
</c>
      <c r="G84" s="10" cm="1" t="str">
        <f t="array" ref="G84">IF(F84="","",SUBSTITUTE(SUBSTITUTE(SUBSTITUTE(SUBSTITUTE(F84,"&lt;li&gt;",CHAR(10)),"&lt;/li&gt;",""),"&lt;br&gt;",CHAR(10)),"&lt;strong&gt;",""))</f>
        <v/>
      </c>
      <c r="H84" s="10" cm="1" t="str">
        <f t="array" ref="H84">IF(G84="","",SUBSTITUTE(SUBSTITUTE(SUBSTITUTE(SUBSTITUTE(SUBSTITUTE(G84,"&lt;p&gt;",""),"&lt;/p&gt;",""),"&lt;ul&gt;",""),"&lt;/ul&gt;",""),"&lt;/strong&gt;",""))</f>
        <v/>
      </c>
      <c r="I84" s="11" cm="1" t="str">
        <f t="array" ref="I84">IF(C84="","",IF(OR(H84="",H84=0,H84=FALSE),"-",H84))</f>
        <v/>
      </c>
      <c r="J84" s="5">
</c>
      <c r="K84" s="6">
</c>
      <c r="L84" s="6" cm="1" t="str">
        <f t="array" ref="L84">IF(C84="","",IF(K84="Mort / Plus rien à faire","KO","OK"))</f>
        <v/>
      </c>
      <c r="M84" s="12">
</c>
      <c r="N84" s="12" cm="1" t="str">
        <f t="array" ref="N84">IF(OR(C84="",M84="",M84=0),"",M84)</f>
        <v/>
      </c>
      <c r="O84" s="12">
</c>
      <c r="P84" s="12" cm="1" t="str">
        <f t="array" ref="P84">IF(C84="","",IF(OR(O84="",O84=0),"-",O84))</f>
        <v/>
      </c>
      <c r="Q84" s="13">
</c>
      <c r="R84" s="9" cm="1" t="str">
        <f t="array" ref="R84">IF(C84="","",ROUND(Q84/1000000,3)&amp;" M€")</f>
        <v/>
      </c>
      <c r="S84" s="9">
</c>
      <c r="T84" s="9" cm="1" t="str">
        <f t="array" ref="T84">IF(C84="","",SUBSTITUTE(S84,"","")&amp;"%")</f>
        <v/>
      </c>
      <c r="U84" s="11" cm="1" t="str">
        <f t="array" ref="U84">IF(($N84="")*($P84=""),"",IF(($N84&lt;&gt;"")*($N84&gt;TODAY()-9)*($N84&lt;TODAY()+1)*($P84&lt;&gt;"")*($P84&gt;=TODAY())*($P84&lt;=TODAY()+13),"Semaine passée &amp; à venir",IF(($N84&lt;&gt;"")*($N84&gt;TODAY()-9)*($N84&lt;TODAY()+1),"Semaine passée",IF(($P84&lt;&gt;"")*($P84&gt;=TODAY())*($P84&lt;=TODAY()+13),"À venir","Autre"))))</f>
        <v/>
      </c>
      <c r="V84" s="5" cm="1" t="n">
        <f t="array" ref="V84">IF(C84&lt;&gt;"",1,0)</f>
        <v>0</v>
      </c>
      <c r="W84" s="5">
</c>
      <c r="X84" s="5">
</c>
      <c r="Y84" s="5">
</c>
      <c r="Z84" s="5">
</c>
      <c r="AA84" s="5">
</c>
      <c r="AB84" s="5">
</c>
      <c r="AC84" s="5">
</c>
      <c r="AD84" s="5">
</c>
      <c r="AE84" s="5">
</c>
      <c r="AF84" s="5">
</c>
      <c r="AG84" s="5">
</c>
      <c r="AH84" s="5">
</c>
      <c r="AI84" s="5">
</c>
      <c r="AJ84" s="5">
</c>
    </row>
    <row r="85" ht="81" customHeight="1">
      <c r="A85" s="6">
</c>
      <c r="B85" s="6">
</c>
      <c r="C85" s="9">
</c>
      <c r="D85" s="9">
</c>
      <c r="E85" s="6">
</c>
      <c r="F85" s="5">
</c>
      <c r="G85" s="10" cm="1" t="str">
        <f t="array" ref="G85">IF(F85="","",SUBSTITUTE(SUBSTITUTE(SUBSTITUTE(SUBSTITUTE(F85,"&lt;li&gt;",CHAR(10)),"&lt;/li&gt;",""),"&lt;br&gt;",CHAR(10)),"&lt;strong&gt;",""))</f>
        <v/>
      </c>
      <c r="H85" s="10" cm="1" t="str">
        <f t="array" ref="H85">IF(G85="","",SUBSTITUTE(SUBSTITUTE(SUBSTITUTE(SUBSTITUTE(SUBSTITUTE(G85,"&lt;p&gt;",""),"&lt;/p&gt;",""),"&lt;ul&gt;",""),"&lt;/ul&gt;",""),"&lt;/strong&gt;",""))</f>
        <v/>
      </c>
      <c r="I85" s="11" cm="1" t="str">
        <f t="array" ref="I85">IF(C85="","",IF(OR(H85="",H85=0,H85=FALSE),"-",H85))</f>
        <v/>
      </c>
      <c r="J85" s="5">
</c>
      <c r="K85" s="6">
</c>
      <c r="L85" s="6" cm="1" t="str">
        <f t="array" ref="L85">IF(C85="","",IF(K85="Mort / Plus rien à faire","KO","OK"))</f>
        <v/>
      </c>
      <c r="M85" s="12">
</c>
      <c r="N85" s="12" cm="1" t="str">
        <f t="array" ref="N85">IF(OR(C85="",M85="",M85=0),"",M85)</f>
        <v/>
      </c>
      <c r="O85" s="12">
</c>
      <c r="P85" s="12" cm="1" t="str">
        <f t="array" ref="P85">IF(C85="","",IF(OR(O85="",O85=0),"-",O85))</f>
        <v/>
      </c>
      <c r="Q85" s="13">
</c>
      <c r="R85" s="9" cm="1" t="str">
        <f t="array" ref="R85">IF(C85="","",ROUND(Q85/1000000,3)&amp;" M€")</f>
        <v/>
      </c>
      <c r="S85" s="9">
</c>
      <c r="T85" s="9" cm="1" t="str">
        <f t="array" ref="T85">IF(C85="","",SUBSTITUTE(S85,"","")&amp;"%")</f>
        <v/>
      </c>
      <c r="U85" s="11" cm="1" t="str">
        <f t="array" ref="U85">IF(($N85="")*($P85=""),"",IF(($N85&lt;&gt;"")*($N85&gt;TODAY()-9)*($N85&lt;TODAY()+1)*($P85&lt;&gt;"")*($P85&gt;=TODAY())*($P85&lt;=TODAY()+13),"Semaine passée &amp; à venir",IF(($N85&lt;&gt;"")*($N85&gt;TODAY()-9)*($N85&lt;TODAY()+1),"Semaine passée",IF(($P85&lt;&gt;"")*($P85&gt;=TODAY())*($P85&lt;=TODAY()+13),"À venir","Autre"))))</f>
        <v/>
      </c>
      <c r="V85" s="5" cm="1" t="n">
        <f t="array" ref="V85">IF(C85&lt;&gt;"",1,0)</f>
        <v>0</v>
      </c>
      <c r="W85" s="5">
</c>
      <c r="X85" s="5">
</c>
      <c r="Y85" s="5">
</c>
      <c r="Z85" s="5">
</c>
      <c r="AA85" s="5">
</c>
      <c r="AB85" s="5">
</c>
      <c r="AC85" s="5">
</c>
      <c r="AD85" s="5">
</c>
      <c r="AE85" s="5">
</c>
      <c r="AF85" s="5">
</c>
      <c r="AG85" s="5">
</c>
      <c r="AH85" s="5">
</c>
      <c r="AI85" s="5">
</c>
      <c r="AJ85" s="5">
</c>
    </row>
    <row r="86" ht="81" customHeight="1">
      <c r="A86" s="6">
</c>
      <c r="B86" s="6">
</c>
      <c r="C86" s="9">
</c>
      <c r="D86" s="9">
</c>
      <c r="E86" s="6">
</c>
      <c r="F86" s="5">
</c>
      <c r="G86" s="10" cm="1" t="str">
        <f t="array" ref="G86">IF(F86="","",SUBSTITUTE(SUBSTITUTE(SUBSTITUTE(SUBSTITUTE(F86,"&lt;li&gt;",CHAR(10)),"&lt;/li&gt;",""),"&lt;br&gt;",CHAR(10)),"&lt;strong&gt;",""))</f>
        <v/>
      </c>
      <c r="H86" s="10" cm="1" t="str">
        <f t="array" ref="H86">IF(G86="","",SUBSTITUTE(SUBSTITUTE(SUBSTITUTE(SUBSTITUTE(SUBSTITUTE(G86,"&lt;p&gt;",""),"&lt;/p&gt;",""),"&lt;ul&gt;",""),"&lt;/ul&gt;",""),"&lt;/strong&gt;",""))</f>
        <v/>
      </c>
      <c r="I86" s="11" cm="1" t="str">
        <f t="array" ref="I86">IF(C86="","",IF(OR(H86="",H86=0,H86=FALSE),"-",H86))</f>
        <v/>
      </c>
      <c r="J86" s="5">
</c>
      <c r="K86" s="6">
</c>
      <c r="L86" s="6" cm="1" t="str">
        <f t="array" ref="L86">IF(C86="","",IF(K86="Mort / Plus rien à faire","KO","OK"))</f>
        <v/>
      </c>
      <c r="M86" s="12">
</c>
      <c r="N86" s="12" cm="1" t="str">
        <f t="array" ref="N86">IF(OR(C86="",M86="",M86=0),"",M86)</f>
        <v/>
      </c>
      <c r="O86" s="12">
</c>
      <c r="P86" s="12" cm="1" t="str">
        <f t="array" ref="P86">IF(C86="","",IF(OR(O86="",O86=0),"-",O86))</f>
        <v/>
      </c>
      <c r="Q86" s="13">
</c>
      <c r="R86" s="9" cm="1" t="str">
        <f t="array" ref="R86">IF(C86="","",ROUND(Q86/1000000,3)&amp;" M€")</f>
        <v/>
      </c>
      <c r="S86" s="9">
</c>
      <c r="T86" s="9" cm="1" t="str">
        <f t="array" ref="T86">IF(C86="","",SUBSTITUTE(S86,"","")&amp;"%")</f>
        <v/>
      </c>
      <c r="U86" s="11" cm="1" t="str">
        <f t="array" ref="U86">IF(($N86="")*($P86=""),"",IF(($N86&lt;&gt;"")*($N86&gt;TODAY()-9)*($N86&lt;TODAY()+1)*($P86&lt;&gt;"")*($P86&gt;=TODAY())*($P86&lt;=TODAY()+13),"Semaine passée &amp; à venir",IF(($N86&lt;&gt;"")*($N86&gt;TODAY()-9)*($N86&lt;TODAY()+1),"Semaine passée",IF(($P86&lt;&gt;"")*($P86&gt;=TODAY())*($P86&lt;=TODAY()+13),"À venir","Autre"))))</f>
        <v/>
      </c>
      <c r="V86" s="5" cm="1" t="n">
        <f t="array" ref="V86">IF(C86&lt;&gt;"",1,0)</f>
        <v>0</v>
      </c>
      <c r="W86" s="5">
</c>
      <c r="X86" s="5">
</c>
      <c r="Y86" s="5">
</c>
      <c r="Z86" s="5">
</c>
      <c r="AA86" s="5">
</c>
      <c r="AB86" s="5">
</c>
      <c r="AC86" s="5">
</c>
      <c r="AD86" s="5">
</c>
      <c r="AE86" s="5">
</c>
      <c r="AF86" s="5">
</c>
      <c r="AG86" s="5">
</c>
      <c r="AH86" s="5">
</c>
      <c r="AI86" s="5">
</c>
      <c r="AJ86" s="5">
</c>
    </row>
    <row r="87" ht="81" customHeight="1">
      <c r="A87" s="6">
</c>
      <c r="B87" s="6">
</c>
      <c r="C87" s="9">
</c>
      <c r="D87" s="9">
</c>
      <c r="E87" s="6">
</c>
      <c r="F87" s="5">
</c>
      <c r="G87" s="10" cm="1" t="str">
        <f t="array" ref="G87">IF(F87="","",SUBSTITUTE(SUBSTITUTE(SUBSTITUTE(SUBSTITUTE(F87,"&lt;li&gt;",CHAR(10)),"&lt;/li&gt;",""),"&lt;br&gt;",CHAR(10)),"&lt;strong&gt;",""))</f>
        <v/>
      </c>
      <c r="H87" s="10" cm="1" t="str">
        <f t="array" ref="H87">IF(G87="","",SUBSTITUTE(SUBSTITUTE(SUBSTITUTE(SUBSTITUTE(SUBSTITUTE(G87,"&lt;p&gt;",""),"&lt;/p&gt;",""),"&lt;ul&gt;",""),"&lt;/ul&gt;",""),"&lt;/strong&gt;",""))</f>
        <v/>
      </c>
      <c r="I87" s="11" cm="1" t="str">
        <f t="array" ref="I87">IF(C87="","",IF(OR(H87="",H87=0,H87=FALSE),"-",H87))</f>
        <v/>
      </c>
      <c r="J87" s="5">
</c>
      <c r="K87" s="6">
</c>
      <c r="L87" s="6" cm="1" t="str">
        <f t="array" ref="L87">IF(C87="","",IF(K87="Mort / Plus rien à faire","KO","OK"))</f>
        <v/>
      </c>
      <c r="M87" s="12">
</c>
      <c r="N87" s="12" cm="1" t="str">
        <f t="array" ref="N87">IF(OR(C87="",M87="",M87=0),"",M87)</f>
        <v/>
      </c>
      <c r="O87" s="12">
</c>
      <c r="P87" s="12" cm="1" t="str">
        <f t="array" ref="P87">IF(C87="","",IF(OR(O87="",O87=0),"-",O87))</f>
        <v/>
      </c>
      <c r="Q87" s="13">
</c>
      <c r="R87" s="9" cm="1" t="str">
        <f t="array" ref="R87">IF(C87="","",ROUND(Q87/1000000,3)&amp;" M€")</f>
        <v/>
      </c>
      <c r="S87" s="9">
</c>
      <c r="T87" s="9" cm="1" t="str">
        <f t="array" ref="T87">IF(C87="","",SUBSTITUTE(S87,"","")&amp;"%")</f>
        <v/>
      </c>
      <c r="U87" s="11" cm="1" t="str">
        <f t="array" ref="U87">IF(($N87="")*($P87=""),"",IF(($N87&lt;&gt;"")*($N87&gt;TODAY()-9)*($N87&lt;TODAY()+1)*($P87&lt;&gt;"")*($P87&gt;=TODAY())*($P87&lt;=TODAY()+13),"Semaine passée &amp; à venir",IF(($N87&lt;&gt;"")*($N87&gt;TODAY()-9)*($N87&lt;TODAY()+1),"Semaine passée",IF(($P87&lt;&gt;"")*($P87&gt;=TODAY())*($P87&lt;=TODAY()+13),"À venir","Autre"))))</f>
        <v/>
      </c>
      <c r="V87" s="5" cm="1" t="n">
        <f t="array" ref="V87">IF(C87&lt;&gt;"",1,0)</f>
        <v>0</v>
      </c>
      <c r="W87" s="5">
</c>
      <c r="X87" s="5">
</c>
      <c r="Y87" s="5">
</c>
      <c r="Z87" s="5">
</c>
      <c r="AA87" s="5">
</c>
      <c r="AB87" s="5">
</c>
      <c r="AC87" s="5">
</c>
      <c r="AD87" s="5">
</c>
      <c r="AE87" s="5">
</c>
      <c r="AF87" s="5">
</c>
      <c r="AG87" s="5">
</c>
      <c r="AH87" s="5">
</c>
      <c r="AI87" s="5">
</c>
      <c r="AJ87" s="5">
</c>
    </row>
    <row r="88" ht="81" customHeight="1">
      <c r="A88" s="6">
</c>
      <c r="B88" s="6">
</c>
      <c r="C88" s="9">
</c>
      <c r="D88" s="9">
</c>
      <c r="E88" s="6">
</c>
      <c r="F88" s="5">
</c>
      <c r="G88" s="10" cm="1" t="str">
        <f t="array" ref="G88">IF(F88="","",SUBSTITUTE(SUBSTITUTE(SUBSTITUTE(SUBSTITUTE(F88,"&lt;li&gt;",CHAR(10)),"&lt;/li&gt;",""),"&lt;br&gt;",CHAR(10)),"&lt;strong&gt;",""))</f>
        <v/>
      </c>
      <c r="H88" s="10" cm="1" t="str">
        <f t="array" ref="H88">IF(G88="","",SUBSTITUTE(SUBSTITUTE(SUBSTITUTE(SUBSTITUTE(SUBSTITUTE(G88,"&lt;p&gt;",""),"&lt;/p&gt;",""),"&lt;ul&gt;",""),"&lt;/ul&gt;",""),"&lt;/strong&gt;",""))</f>
        <v/>
      </c>
      <c r="I88" s="11" cm="1" t="str">
        <f t="array" ref="I88">IF(C88="","",IF(OR(H88="",H88=0,H88=FALSE),"-",H88))</f>
        <v/>
      </c>
      <c r="J88" s="5">
</c>
      <c r="K88" s="6">
</c>
      <c r="L88" s="6" cm="1" t="str">
        <f t="array" ref="L88">IF(C88="","",IF(K88="Mort / Plus rien à faire","KO","OK"))</f>
        <v/>
      </c>
      <c r="M88" s="12">
</c>
      <c r="N88" s="12" cm="1" t="str">
        <f t="array" ref="N88">IF(OR(C88="",M88="",M88=0),"",M88)</f>
        <v/>
      </c>
      <c r="O88" s="12">
</c>
      <c r="P88" s="12" cm="1" t="str">
        <f t="array" ref="P88">IF(C88="","",IF(OR(O88="",O88=0),"-",O88))</f>
        <v/>
      </c>
      <c r="Q88" s="13">
</c>
      <c r="R88" s="9" cm="1" t="str">
        <f t="array" ref="R88">IF(C88="","",ROUND(Q88/1000000,3)&amp;" M€")</f>
        <v/>
      </c>
      <c r="S88" s="9">
</c>
      <c r="T88" s="9" cm="1" t="str">
        <f t="array" ref="T88">IF(C88="","",SUBSTITUTE(S88,"","")&amp;"%")</f>
        <v/>
      </c>
      <c r="U88" s="11" cm="1" t="str">
        <f t="array" ref="U88">IF(($N88="")*($P88=""),"",IF(($N88&lt;&gt;"")*($N88&gt;TODAY()-9)*($N88&lt;TODAY()+1)*($P88&lt;&gt;"")*($P88&gt;=TODAY())*($P88&lt;=TODAY()+13),"Semaine passée &amp; à venir",IF(($N88&lt;&gt;"")*($N88&gt;TODAY()-9)*($N88&lt;TODAY()+1),"Semaine passée",IF(($P88&lt;&gt;"")*($P88&gt;=TODAY())*($P88&lt;=TODAY()+13),"À venir","Autre"))))</f>
        <v/>
      </c>
      <c r="V88" s="5" cm="1" t="n">
        <f t="array" ref="V88">IF(C88&lt;&gt;"",1,0)</f>
        <v>0</v>
      </c>
      <c r="W88" s="5">
</c>
      <c r="X88" s="5">
</c>
      <c r="Y88" s="5">
</c>
      <c r="Z88" s="5">
</c>
      <c r="AA88" s="5">
</c>
      <c r="AB88" s="5">
</c>
      <c r="AC88" s="5">
</c>
      <c r="AD88" s="5">
</c>
      <c r="AE88" s="5">
</c>
      <c r="AF88" s="5">
</c>
      <c r="AG88" s="5">
</c>
      <c r="AH88" s="5">
</c>
      <c r="AI88" s="5">
</c>
      <c r="AJ88" s="5">
</c>
    </row>
    <row r="89" ht="81" customHeight="1">
      <c r="A89" s="6">
</c>
      <c r="B89" s="6">
</c>
      <c r="C89" s="9">
</c>
      <c r="D89" s="9">
</c>
      <c r="E89" s="6">
</c>
      <c r="F89" s="5">
</c>
      <c r="G89" s="10" cm="1" t="str">
        <f t="array" ref="G89">IF(F89="","",SUBSTITUTE(SUBSTITUTE(SUBSTITUTE(SUBSTITUTE(F89,"&lt;li&gt;",CHAR(10)),"&lt;/li&gt;",""),"&lt;br&gt;",CHAR(10)),"&lt;strong&gt;",""))</f>
        <v/>
      </c>
      <c r="H89" s="10" cm="1" t="str">
        <f t="array" ref="H89">IF(G89="","",SUBSTITUTE(SUBSTITUTE(SUBSTITUTE(SUBSTITUTE(SUBSTITUTE(G89,"&lt;p&gt;",""),"&lt;/p&gt;",""),"&lt;ul&gt;",""),"&lt;/ul&gt;",""),"&lt;/strong&gt;",""))</f>
        <v/>
      </c>
      <c r="I89" s="11" cm="1" t="str">
        <f t="array" ref="I89">IF(C89="","",IF(OR(H89="",H89=0,H89=FALSE),"-",H89))</f>
        <v/>
      </c>
      <c r="J89" s="5">
</c>
      <c r="K89" s="6">
</c>
      <c r="L89" s="6" cm="1" t="str">
        <f t="array" ref="L89">IF(C89="","",IF(K89="Mort / Plus rien à faire","KO","OK"))</f>
        <v/>
      </c>
      <c r="M89" s="12">
</c>
      <c r="N89" s="12" cm="1" t="str">
        <f t="array" ref="N89">IF(OR(C89="",M89="",M89=0),"",M89)</f>
        <v/>
      </c>
      <c r="O89" s="12">
</c>
      <c r="P89" s="12" cm="1" t="str">
        <f t="array" ref="P89">IF(C89="","",IF(OR(O89="",O89=0),"-",O89))</f>
        <v/>
      </c>
      <c r="Q89" s="13">
</c>
      <c r="R89" s="9" cm="1" t="str">
        <f t="array" ref="R89">IF(C89="","",ROUND(Q89/1000000,3)&amp;" M€")</f>
        <v/>
      </c>
      <c r="S89" s="9">
</c>
      <c r="T89" s="9" cm="1" t="str">
        <f t="array" ref="T89">IF(C89="","",SUBSTITUTE(S89,"","")&amp;"%")</f>
        <v/>
      </c>
      <c r="U89" s="11" cm="1" t="str">
        <f t="array" ref="U89">IF(($N89="")*($P89=""),"",IF(($N89&lt;&gt;"")*($N89&gt;TODAY()-9)*($N89&lt;TODAY()+1)*($P89&lt;&gt;"")*($P89&gt;=TODAY())*($P89&lt;=TODAY()+13),"Semaine passée &amp; à venir",IF(($N89&lt;&gt;"")*($N89&gt;TODAY()-9)*($N89&lt;TODAY()+1),"Semaine passée",IF(($P89&lt;&gt;"")*($P89&gt;=TODAY())*($P89&lt;=TODAY()+13),"À venir","Autre"))))</f>
        <v/>
      </c>
      <c r="V89" s="5" cm="1" t="n">
        <f t="array" ref="V89">IF(C89&lt;&gt;"",1,0)</f>
        <v>0</v>
      </c>
      <c r="W89" s="5">
</c>
      <c r="X89" s="5">
</c>
      <c r="Y89" s="5">
</c>
      <c r="Z89" s="5">
</c>
      <c r="AA89" s="5">
</c>
      <c r="AB89" s="5">
</c>
      <c r="AC89" s="5">
</c>
      <c r="AD89" s="5">
</c>
      <c r="AE89" s="5">
</c>
      <c r="AF89" s="5">
</c>
      <c r="AG89" s="5">
</c>
      <c r="AH89" s="5">
</c>
      <c r="AI89" s="5">
</c>
      <c r="AJ89" s="5">
</c>
    </row>
    <row r="90" ht="81" customHeight="1">
      <c r="A90" s="6">
</c>
      <c r="B90" s="6">
</c>
      <c r="C90" s="9">
</c>
      <c r="D90" s="9">
</c>
      <c r="E90" s="6">
</c>
      <c r="F90" s="5">
</c>
      <c r="G90" s="10" cm="1" t="str">
        <f t="array" ref="G90">IF(F90="","",SUBSTITUTE(SUBSTITUTE(SUBSTITUTE(SUBSTITUTE(F90,"&lt;li&gt;",CHAR(10)),"&lt;/li&gt;",""),"&lt;br&gt;",CHAR(10)),"&lt;strong&gt;",""))</f>
        <v/>
      </c>
      <c r="H90" s="10" cm="1" t="str">
        <f t="array" ref="H90">IF(G90="","",SUBSTITUTE(SUBSTITUTE(SUBSTITUTE(SUBSTITUTE(SUBSTITUTE(G90,"&lt;p&gt;",""),"&lt;/p&gt;",""),"&lt;ul&gt;",""),"&lt;/ul&gt;",""),"&lt;/strong&gt;",""))</f>
        <v/>
      </c>
      <c r="I90" s="11" cm="1" t="str">
        <f t="array" ref="I90">IF(C90="","",IF(OR(H90="",H90=0,H90=FALSE),"-",H90))</f>
        <v/>
      </c>
      <c r="J90" s="5">
</c>
      <c r="K90" s="6">
</c>
      <c r="L90" s="6" cm="1" t="str">
        <f t="array" ref="L90">IF(C90="","",IF(K90="Mort / Plus rien à faire","KO","OK"))</f>
        <v/>
      </c>
      <c r="M90" s="12">
</c>
      <c r="N90" s="12" cm="1" t="str">
        <f t="array" ref="N90">IF(OR(C90="",M90="",M90=0),"",M90)</f>
        <v/>
      </c>
      <c r="O90" s="12">
</c>
      <c r="P90" s="12" cm="1" t="str">
        <f t="array" ref="P90">IF(C90="","",IF(OR(O90="",O90=0),"-",O90))</f>
        <v/>
      </c>
      <c r="Q90" s="13">
</c>
      <c r="R90" s="9" cm="1" t="str">
        <f t="array" ref="R90">IF(C90="","",ROUND(Q90/1000000,3)&amp;" M€")</f>
        <v/>
      </c>
      <c r="S90" s="9">
</c>
      <c r="T90" s="9" cm="1" t="str">
        <f t="array" ref="T90">IF(C90="","",SUBSTITUTE(S90,"","")&amp;"%")</f>
        <v/>
      </c>
      <c r="U90" s="11" cm="1" t="str">
        <f t="array" ref="U90">IF(($N90="")*($P90=""),"",IF(($N90&lt;&gt;"")*($N90&gt;TODAY()-9)*($N90&lt;TODAY()+1)*($P90&lt;&gt;"")*($P90&gt;=TODAY())*($P90&lt;=TODAY()+13),"Semaine passée &amp; à venir",IF(($N90&lt;&gt;"")*($N90&gt;TODAY()-9)*($N90&lt;TODAY()+1),"Semaine passée",IF(($P90&lt;&gt;"")*($P90&gt;=TODAY())*($P90&lt;=TODAY()+13),"À venir","Autre"))))</f>
        <v/>
      </c>
      <c r="V90" s="5" cm="1" t="n">
        <f t="array" ref="V90">IF(C90&lt;&gt;"",1,0)</f>
        <v>0</v>
      </c>
      <c r="W90" s="5">
</c>
      <c r="X90" s="5">
</c>
      <c r="Y90" s="5">
</c>
      <c r="Z90" s="5">
</c>
      <c r="AA90" s="5">
</c>
      <c r="AB90" s="5">
</c>
      <c r="AC90" s="5">
</c>
      <c r="AD90" s="5">
</c>
      <c r="AE90" s="5">
</c>
      <c r="AF90" s="5">
</c>
      <c r="AG90" s="5">
</c>
      <c r="AH90" s="5">
</c>
      <c r="AI90" s="5">
</c>
      <c r="AJ90" s="5">
</c>
    </row>
    <row r="91" ht="81" customHeight="1">
      <c r="A91" s="6">
</c>
      <c r="B91" s="6">
</c>
      <c r="C91" s="9">
</c>
      <c r="D91" s="9">
</c>
      <c r="E91" s="6">
</c>
      <c r="F91" s="5">
</c>
      <c r="G91" s="10" cm="1" t="str">
        <f t="array" ref="G91">IF(F91="","",SUBSTITUTE(SUBSTITUTE(SUBSTITUTE(SUBSTITUTE(F91,"&lt;li&gt;",CHAR(10)),"&lt;/li&gt;",""),"&lt;br&gt;",CHAR(10)),"&lt;strong&gt;",""))</f>
        <v/>
      </c>
      <c r="H91" s="10" cm="1" t="str">
        <f t="array" ref="H91">IF(G91="","",SUBSTITUTE(SUBSTITUTE(SUBSTITUTE(SUBSTITUTE(SUBSTITUTE(G91,"&lt;p&gt;",""),"&lt;/p&gt;",""),"&lt;ul&gt;",""),"&lt;/ul&gt;",""),"&lt;/strong&gt;",""))</f>
        <v/>
      </c>
      <c r="I91" s="11" cm="1" t="str">
        <f t="array" ref="I91">IF(C91="","",IF(OR(H91="",H91=0,H91=FALSE),"-",H91))</f>
        <v/>
      </c>
      <c r="J91" s="5">
</c>
      <c r="K91" s="6">
</c>
      <c r="L91" s="6" cm="1" t="str">
        <f t="array" ref="L91">IF(C91="","",IF(K91="Mort / Plus rien à faire","KO","OK"))</f>
        <v/>
      </c>
      <c r="M91" s="12">
</c>
      <c r="N91" s="12" cm="1" t="str">
        <f t="array" ref="N91">IF(OR(C91="",M91="",M91=0),"",M91)</f>
        <v/>
      </c>
      <c r="O91" s="12">
</c>
      <c r="P91" s="12" cm="1" t="str">
        <f t="array" ref="P91">IF(C91="","",IF(OR(O91="",O91=0),"-",O91))</f>
        <v/>
      </c>
      <c r="Q91" s="13">
</c>
      <c r="R91" s="9" cm="1" t="str">
        <f t="array" ref="R91">IF(C91="","",ROUND(Q91/1000000,3)&amp;" M€")</f>
        <v/>
      </c>
      <c r="S91" s="9">
</c>
      <c r="T91" s="9" cm="1" t="str">
        <f t="array" ref="T91">IF(C91="","",SUBSTITUTE(S91,"","")&amp;"%")</f>
        <v/>
      </c>
      <c r="U91" s="11" cm="1" t="str">
        <f t="array" ref="U91">IF(($N91="")*($P91=""),"",IF(($N91&lt;&gt;"")*($N91&gt;TODAY()-9)*($N91&lt;TODAY()+1)*($P91&lt;&gt;"")*($P91&gt;=TODAY())*($P91&lt;=TODAY()+13),"Semaine passée &amp; à venir",IF(($N91&lt;&gt;"")*($N91&gt;TODAY()-9)*($N91&lt;TODAY()+1),"Semaine passée",IF(($P91&lt;&gt;"")*($P91&gt;=TODAY())*($P91&lt;=TODAY()+13),"À venir","Autre"))))</f>
        <v/>
      </c>
      <c r="V91" s="5" cm="1" t="n">
        <f t="array" ref="V91">IF(C91&lt;&gt;"",1,0)</f>
        <v>0</v>
      </c>
      <c r="W91" s="5">
</c>
      <c r="X91" s="5">
</c>
      <c r="Y91" s="5">
</c>
      <c r="Z91" s="5">
</c>
      <c r="AA91" s="5">
</c>
      <c r="AB91" s="5">
</c>
      <c r="AC91" s="5">
</c>
      <c r="AD91" s="5">
</c>
      <c r="AE91" s="5">
</c>
      <c r="AF91" s="5">
</c>
      <c r="AG91" s="5">
</c>
      <c r="AH91" s="5">
</c>
      <c r="AI91" s="5">
</c>
      <c r="AJ91" s="5">
</c>
    </row>
    <row r="92" ht="81" customHeight="1">
      <c r="A92" s="6">
</c>
      <c r="B92" s="6">
</c>
      <c r="C92" s="9">
</c>
      <c r="D92" s="9">
</c>
      <c r="E92" s="6">
</c>
      <c r="F92" s="5">
</c>
      <c r="G92" s="10" cm="1" t="str">
        <f t="array" ref="G92">IF(F92="","",SUBSTITUTE(SUBSTITUTE(SUBSTITUTE(SUBSTITUTE(F92,"&lt;li&gt;",CHAR(10)),"&lt;/li&gt;",""),"&lt;br&gt;",CHAR(10)),"&lt;strong&gt;",""))</f>
        <v/>
      </c>
      <c r="H92" s="10" cm="1" t="str">
        <f t="array" ref="H92">IF(G92="","",SUBSTITUTE(SUBSTITUTE(SUBSTITUTE(SUBSTITUTE(SUBSTITUTE(G92,"&lt;p&gt;",""),"&lt;/p&gt;",""),"&lt;ul&gt;",""),"&lt;/ul&gt;",""),"&lt;/strong&gt;",""))</f>
        <v/>
      </c>
      <c r="I92" s="11" cm="1" t="str">
        <f t="array" ref="I92">IF(C92="","",IF(OR(H92="",H92=0,H92=FALSE),"-",H92))</f>
        <v/>
      </c>
      <c r="J92" s="5">
</c>
      <c r="K92" s="6">
</c>
      <c r="L92" s="6" cm="1" t="str">
        <f t="array" ref="L92">IF(C92="","",IF(K92="Mort / Plus rien à faire","KO","OK"))</f>
        <v/>
      </c>
      <c r="M92" s="12">
</c>
      <c r="N92" s="12" cm="1" t="str">
        <f t="array" ref="N92">IF(OR(C92="",M92="",M92=0),"",M92)</f>
        <v/>
      </c>
      <c r="O92" s="12">
</c>
      <c r="P92" s="12" cm="1" t="str">
        <f t="array" ref="P92">IF(C92="","",IF(OR(O92="",O92=0),"-",O92))</f>
        <v/>
      </c>
      <c r="Q92" s="13">
</c>
      <c r="R92" s="9" cm="1" t="str">
        <f t="array" ref="R92">IF(C92="","",ROUND(Q92/1000000,3)&amp;" M€")</f>
        <v/>
      </c>
      <c r="S92" s="9">
</c>
      <c r="T92" s="9" cm="1" t="str">
        <f t="array" ref="T92">IF(C92="","",SUBSTITUTE(S92,"","")&amp;"%")</f>
        <v/>
      </c>
      <c r="U92" s="11" cm="1" t="str">
        <f t="array" ref="U92">IF(($N92="")*($P92=""),"",IF(($N92&lt;&gt;"")*($N92&gt;TODAY()-9)*($N92&lt;TODAY()+1)*($P92&lt;&gt;"")*($P92&gt;=TODAY())*($P92&lt;=TODAY()+13),"Semaine passée &amp; à venir",IF(($N92&lt;&gt;"")*($N92&gt;TODAY()-9)*($N92&lt;TODAY()+1),"Semaine passée",IF(($P92&lt;&gt;"")*($P92&gt;=TODAY())*($P92&lt;=TODAY()+13),"À venir","Autre"))))</f>
        <v/>
      </c>
      <c r="V92" s="5" cm="1" t="n">
        <f t="array" ref="V92">IF(C92&lt;&gt;"",1,0)</f>
        <v>0</v>
      </c>
      <c r="W92" s="5">
</c>
      <c r="X92" s="5">
</c>
      <c r="Y92" s="5">
</c>
      <c r="Z92" s="5">
</c>
      <c r="AA92" s="5">
</c>
      <c r="AB92" s="5">
</c>
      <c r="AC92" s="5">
</c>
      <c r="AD92" s="5">
</c>
      <c r="AE92" s="5">
</c>
      <c r="AF92" s="5">
</c>
      <c r="AG92" s="5">
</c>
      <c r="AH92" s="5">
</c>
      <c r="AI92" s="5">
</c>
      <c r="AJ92" s="5">
</c>
    </row>
    <row r="93" ht="81" customHeight="1">
      <c r="A93" s="6">
</c>
      <c r="B93" s="6">
</c>
      <c r="C93" s="9">
</c>
      <c r="D93" s="9">
</c>
      <c r="E93" s="6">
</c>
      <c r="F93" s="5">
</c>
      <c r="G93" s="10" cm="1" t="str">
        <f t="array" ref="G93">IF(F93="","",SUBSTITUTE(SUBSTITUTE(SUBSTITUTE(SUBSTITUTE(F93,"&lt;li&gt;",CHAR(10)),"&lt;/li&gt;",""),"&lt;br&gt;",CHAR(10)),"&lt;strong&gt;",""))</f>
        <v/>
      </c>
      <c r="H93" s="10" cm="1" t="str">
        <f t="array" ref="H93">IF(G93="","",SUBSTITUTE(SUBSTITUTE(SUBSTITUTE(SUBSTITUTE(SUBSTITUTE(G93,"&lt;p&gt;",""),"&lt;/p&gt;",""),"&lt;ul&gt;",""),"&lt;/ul&gt;",""),"&lt;/strong&gt;",""))</f>
        <v/>
      </c>
      <c r="I93" s="11" cm="1" t="str">
        <f t="array" ref="I93">IF(C93="","",IF(OR(H93="",H93=0,H93=FALSE),"-",H93))</f>
        <v/>
      </c>
      <c r="J93" s="5">
</c>
      <c r="K93" s="6">
</c>
      <c r="L93" s="6" cm="1" t="str">
        <f t="array" ref="L93">IF(C93="","",IF(K93="Mort / Plus rien à faire","KO","OK"))</f>
        <v/>
      </c>
      <c r="M93" s="12">
</c>
      <c r="N93" s="12" cm="1" t="str">
        <f t="array" ref="N93">IF(OR(C93="",M93="",M93=0),"",M93)</f>
        <v/>
      </c>
      <c r="O93" s="12">
</c>
      <c r="P93" s="12" cm="1" t="str">
        <f t="array" ref="P93">IF(C93="","",IF(OR(O93="",O93=0),"-",O93))</f>
        <v/>
      </c>
      <c r="Q93" s="13">
</c>
      <c r="R93" s="9" cm="1" t="str">
        <f t="array" ref="R93">IF(C93="","",ROUND(Q93/1000000,3)&amp;" M€")</f>
        <v/>
      </c>
      <c r="S93" s="9">
</c>
      <c r="T93" s="9" cm="1" t="str">
        <f t="array" ref="T93">IF(C93="","",SUBSTITUTE(S93,"","")&amp;"%")</f>
        <v/>
      </c>
      <c r="U93" s="11" cm="1" t="str">
        <f t="array" ref="U93">IF(($N93="")*($P93=""),"",IF(($N93&lt;&gt;"")*($N93&gt;TODAY()-9)*($N93&lt;TODAY()+1)*($P93&lt;&gt;"")*($P93&gt;=TODAY())*($P93&lt;=TODAY()+13),"Semaine passée &amp; à venir",IF(($N93&lt;&gt;"")*($N93&gt;TODAY()-9)*($N93&lt;TODAY()+1),"Semaine passée",IF(($P93&lt;&gt;"")*($P93&gt;=TODAY())*($P93&lt;=TODAY()+13),"À venir","Autre"))))</f>
        <v/>
      </c>
      <c r="V93" s="5" cm="1" t="n">
        <f t="array" ref="V93">IF(C93&lt;&gt;"",1,0)</f>
        <v>0</v>
      </c>
      <c r="W93" s="5">
</c>
      <c r="X93" s="5">
</c>
      <c r="Y93" s="5">
</c>
      <c r="Z93" s="5">
</c>
      <c r="AA93" s="5">
</c>
      <c r="AB93" s="5">
</c>
      <c r="AC93" s="5">
</c>
      <c r="AD93" s="5">
</c>
      <c r="AE93" s="5">
</c>
      <c r="AF93" s="5">
</c>
      <c r="AG93" s="5">
</c>
      <c r="AH93" s="5">
</c>
      <c r="AI93" s="5">
</c>
      <c r="AJ93" s="5">
</c>
    </row>
    <row r="94" ht="81" customHeight="1">
      <c r="A94" s="6">
</c>
      <c r="B94" s="6">
</c>
      <c r="C94" s="9">
</c>
      <c r="D94" s="9">
</c>
      <c r="E94" s="6">
</c>
      <c r="F94" s="5">
</c>
      <c r="G94" s="10" cm="1" t="str">
        <f t="array" ref="G94">IF(F94="","",SUBSTITUTE(SUBSTITUTE(SUBSTITUTE(SUBSTITUTE(F94,"&lt;li&gt;",CHAR(10)),"&lt;/li&gt;",""),"&lt;br&gt;",CHAR(10)),"&lt;strong&gt;",""))</f>
        <v/>
      </c>
      <c r="H94" s="10" cm="1" t="str">
        <f t="array" ref="H94">IF(G94="","",SUBSTITUTE(SUBSTITUTE(SUBSTITUTE(SUBSTITUTE(SUBSTITUTE(G94,"&lt;p&gt;",""),"&lt;/p&gt;",""),"&lt;ul&gt;",""),"&lt;/ul&gt;",""),"&lt;/strong&gt;",""))</f>
        <v/>
      </c>
      <c r="I94" s="11" cm="1" t="str">
        <f t="array" ref="I94">IF(C94="","",IF(OR(H94="",H94=0,H94=FALSE),"-",H94))</f>
        <v/>
      </c>
      <c r="J94" s="5">
</c>
      <c r="K94" s="6">
</c>
      <c r="L94" s="6" cm="1" t="str">
        <f t="array" ref="L94">IF(C94="","",IF(K94="Mort / Plus rien à faire","KO","OK"))</f>
        <v/>
      </c>
      <c r="M94" s="12">
</c>
      <c r="N94" s="12" cm="1" t="str">
        <f t="array" ref="N94">IF(OR(C94="",M94="",M94=0),"",M94)</f>
        <v/>
      </c>
      <c r="O94" s="12">
</c>
      <c r="P94" s="12" cm="1" t="str">
        <f t="array" ref="P94">IF(C94="","",IF(OR(O94="",O94=0),"-",O94))</f>
        <v/>
      </c>
      <c r="Q94" s="13">
</c>
      <c r="R94" s="9" cm="1" t="str">
        <f t="array" ref="R94">IF(C94="","",ROUND(Q94/1000000,3)&amp;" M€")</f>
        <v/>
      </c>
      <c r="S94" s="9">
</c>
      <c r="T94" s="9" cm="1" t="str">
        <f t="array" ref="T94">IF(C94="","",SUBSTITUTE(S94,"","")&amp;"%")</f>
        <v/>
      </c>
      <c r="U94" s="11" cm="1" t="str">
        <f t="array" ref="U94">IF(($N94="")*($P94=""),"",IF(($N94&lt;&gt;"")*($N94&gt;TODAY()-9)*($N94&lt;TODAY()+1)*($P94&lt;&gt;"")*($P94&gt;=TODAY())*($P94&lt;=TODAY()+13),"Semaine passée &amp; à venir",IF(($N94&lt;&gt;"")*($N94&gt;TODAY()-9)*($N94&lt;TODAY()+1),"Semaine passée",IF(($P94&lt;&gt;"")*($P94&gt;=TODAY())*($P94&lt;=TODAY()+13),"À venir","Autre"))))</f>
        <v/>
      </c>
      <c r="V94" s="5" cm="1" t="n">
        <f t="array" ref="V94">IF(C94&lt;&gt;"",1,0)</f>
        <v>0</v>
      </c>
      <c r="W94" s="5">
</c>
      <c r="X94" s="5">
</c>
      <c r="Y94" s="5">
</c>
      <c r="Z94" s="5">
</c>
      <c r="AA94" s="5">
</c>
      <c r="AB94" s="5">
</c>
      <c r="AC94" s="5">
</c>
      <c r="AD94" s="5">
</c>
      <c r="AE94" s="5">
</c>
      <c r="AF94" s="5">
</c>
      <c r="AG94" s="5">
</c>
      <c r="AH94" s="5">
</c>
      <c r="AI94" s="5">
</c>
      <c r="AJ94" s="5">
</c>
    </row>
    <row r="95" ht="81" customHeight="1">
      <c r="A95" s="6">
</c>
      <c r="B95" s="6">
</c>
      <c r="C95" s="9">
</c>
      <c r="D95" s="9">
</c>
      <c r="E95" s="6">
</c>
      <c r="F95" s="5">
</c>
      <c r="G95" s="10" cm="1" t="str">
        <f t="array" ref="G95">IF(F95="","",SUBSTITUTE(SUBSTITUTE(SUBSTITUTE(SUBSTITUTE(F95,"&lt;li&gt;",CHAR(10)),"&lt;/li&gt;",""),"&lt;br&gt;",CHAR(10)),"&lt;strong&gt;",""))</f>
        <v/>
      </c>
      <c r="H95" s="10" cm="1" t="str">
        <f t="array" ref="H95">IF(G95="","",SUBSTITUTE(SUBSTITUTE(SUBSTITUTE(SUBSTITUTE(SUBSTITUTE(G95,"&lt;p&gt;",""),"&lt;/p&gt;",""),"&lt;ul&gt;",""),"&lt;/ul&gt;",""),"&lt;/strong&gt;",""))</f>
        <v/>
      </c>
      <c r="I95" s="11" cm="1" t="str">
        <f t="array" ref="I95">IF(C95="","",IF(OR(H95="",H95=0,H95=FALSE),"-",H95))</f>
        <v/>
      </c>
      <c r="J95" s="5">
</c>
      <c r="K95" s="6">
</c>
      <c r="L95" s="6" cm="1" t="str">
        <f t="array" ref="L95">IF(C95="","",IF(K95="Mort / Plus rien à faire","KO","OK"))</f>
        <v/>
      </c>
      <c r="M95" s="12">
</c>
      <c r="N95" s="12" cm="1" t="str">
        <f t="array" ref="N95">IF(OR(C95="",M95="",M95=0),"",M95)</f>
        <v/>
      </c>
      <c r="O95" s="12">
</c>
      <c r="P95" s="12" cm="1" t="str">
        <f t="array" ref="P95">IF(C95="","",IF(OR(O95="",O95=0),"-",O95))</f>
        <v/>
      </c>
      <c r="Q95" s="13">
</c>
      <c r="R95" s="9" cm="1" t="str">
        <f t="array" ref="R95">IF(C95="","",ROUND(Q95/1000000,3)&amp;" M€")</f>
        <v/>
      </c>
      <c r="S95" s="9">
</c>
      <c r="T95" s="9" cm="1" t="str">
        <f t="array" ref="T95">IF(C95="","",SUBSTITUTE(S95,"","")&amp;"%")</f>
        <v/>
      </c>
      <c r="U95" s="11" cm="1" t="str">
        <f t="array" ref="U95">IF(($N95="")*($P95=""),"",IF(($N95&lt;&gt;"")*($N95&gt;TODAY()-9)*($N95&lt;TODAY()+1)*($P95&lt;&gt;"")*($P95&gt;=TODAY())*($P95&lt;=TODAY()+13),"Semaine passée &amp; à venir",IF(($N95&lt;&gt;"")*($N95&gt;TODAY()-9)*($N95&lt;TODAY()+1),"Semaine passée",IF(($P95&lt;&gt;"")*($P95&gt;=TODAY())*($P95&lt;=TODAY()+13),"À venir","Autre"))))</f>
        <v/>
      </c>
      <c r="V95" s="5" cm="1" t="n">
        <f t="array" ref="V95">IF(C95&lt;&gt;"",1,0)</f>
        <v>0</v>
      </c>
      <c r="W95" s="5">
</c>
      <c r="X95" s="5">
</c>
      <c r="Y95" s="5">
</c>
      <c r="Z95" s="5">
</c>
      <c r="AA95" s="5">
</c>
      <c r="AB95" s="5">
</c>
      <c r="AC95" s="5">
</c>
      <c r="AD95" s="5">
</c>
      <c r="AE95" s="5">
</c>
      <c r="AF95" s="5">
</c>
      <c r="AG95" s="5">
</c>
      <c r="AH95" s="5">
</c>
      <c r="AI95" s="5">
</c>
      <c r="AJ95" s="5">
</c>
    </row>
    <row r="96" ht="81" customHeight="1">
      <c r="A96" s="6">
</c>
      <c r="B96" s="6">
</c>
      <c r="C96" s="9">
</c>
      <c r="D96" s="9">
</c>
      <c r="E96" s="6">
</c>
      <c r="F96" s="5">
</c>
      <c r="G96" s="10" cm="1" t="str">
        <f t="array" ref="G96">IF(F96="","",SUBSTITUTE(SUBSTITUTE(SUBSTITUTE(SUBSTITUTE(F96,"&lt;li&gt;",CHAR(10)),"&lt;/li&gt;",""),"&lt;br&gt;",CHAR(10)),"&lt;strong&gt;",""))</f>
        <v/>
      </c>
      <c r="H96" s="10" cm="1" t="str">
        <f t="array" ref="H96">IF(G96="","",SUBSTITUTE(SUBSTITUTE(SUBSTITUTE(SUBSTITUTE(SUBSTITUTE(G96,"&lt;p&gt;",""),"&lt;/p&gt;",""),"&lt;ul&gt;",""),"&lt;/ul&gt;",""),"&lt;/strong&gt;",""))</f>
        <v/>
      </c>
      <c r="I96" s="11" cm="1" t="str">
        <f t="array" ref="I96">IF(C96="","",IF(OR(H96="",H96=0,H96=FALSE),"-",H96))</f>
        <v/>
      </c>
      <c r="J96" s="5">
</c>
      <c r="K96" s="6">
</c>
      <c r="L96" s="6" cm="1" t="str">
        <f t="array" ref="L96">IF(C96="","",IF(K96="Mort / Plus rien à faire","KO","OK"))</f>
        <v/>
      </c>
      <c r="M96" s="12">
</c>
      <c r="N96" s="12" cm="1" t="str">
        <f t="array" ref="N96">IF(OR(C96="",M96="",M96=0),"",M96)</f>
        <v/>
      </c>
      <c r="O96" s="12">
</c>
      <c r="P96" s="12" cm="1" t="str">
        <f t="array" ref="P96">IF(C96="","",IF(OR(O96="",O96=0),"-",O96))</f>
        <v/>
      </c>
      <c r="Q96" s="13">
</c>
      <c r="R96" s="9" cm="1" t="str">
        <f t="array" ref="R96">IF(C96="","",ROUND(Q96/1000000,3)&amp;" M€")</f>
        <v/>
      </c>
      <c r="S96" s="9">
</c>
      <c r="T96" s="9" cm="1" t="str">
        <f t="array" ref="T96">IF(C96="","",SUBSTITUTE(S96,"","")&amp;"%")</f>
        <v/>
      </c>
      <c r="U96" s="11" cm="1" t="str">
        <f t="array" ref="U96">IF(($N96="")*($P96=""),"",IF(($N96&lt;&gt;"")*($N96&gt;TODAY()-9)*($N96&lt;TODAY()+1)*($P96&lt;&gt;"")*($P96&gt;=TODAY())*($P96&lt;=TODAY()+13),"Semaine passée &amp; à venir",IF(($N96&lt;&gt;"")*($N96&gt;TODAY()-9)*($N96&lt;TODAY()+1),"Semaine passée",IF(($P96&lt;&gt;"")*($P96&gt;=TODAY())*($P96&lt;=TODAY()+13),"À venir","Autre"))))</f>
        <v/>
      </c>
      <c r="V96" s="5" cm="1" t="n">
        <f t="array" ref="V96">IF(C96&lt;&gt;"",1,0)</f>
        <v>0</v>
      </c>
      <c r="W96" s="5">
</c>
      <c r="X96" s="5">
</c>
      <c r="Y96" s="5">
</c>
      <c r="Z96" s="5">
</c>
      <c r="AA96" s="5">
</c>
      <c r="AB96" s="5">
</c>
      <c r="AC96" s="5">
</c>
      <c r="AD96" s="5">
</c>
      <c r="AE96" s="5">
</c>
      <c r="AF96" s="5">
</c>
      <c r="AG96" s="5">
</c>
      <c r="AH96" s="5">
</c>
      <c r="AI96" s="5">
</c>
      <c r="AJ96" s="5">
</c>
    </row>
    <row r="97" ht="81" customHeight="1">
      <c r="A97" s="6">
</c>
      <c r="B97" s="6">
</c>
      <c r="C97" s="9">
</c>
      <c r="D97" s="9">
</c>
      <c r="E97" s="6">
</c>
      <c r="F97" s="5">
</c>
      <c r="G97" s="10" cm="1" t="str">
        <f t="array" ref="G97">IF(F97="","",SUBSTITUTE(SUBSTITUTE(SUBSTITUTE(SUBSTITUTE(F97,"&lt;li&gt;",CHAR(10)),"&lt;/li&gt;",""),"&lt;br&gt;",CHAR(10)),"&lt;strong&gt;",""))</f>
        <v/>
      </c>
      <c r="H97" s="10" cm="1" t="str">
        <f t="array" ref="H97">IF(G97="","",SUBSTITUTE(SUBSTITUTE(SUBSTITUTE(SUBSTITUTE(SUBSTITUTE(G97,"&lt;p&gt;",""),"&lt;/p&gt;",""),"&lt;ul&gt;",""),"&lt;/ul&gt;",""),"&lt;/strong&gt;",""))</f>
        <v/>
      </c>
      <c r="I97" s="11" cm="1" t="str">
        <f t="array" ref="I97">IF(C97="","",IF(OR(H97="",H97=0,H97=FALSE),"-",H97))</f>
        <v/>
      </c>
      <c r="J97" s="5">
</c>
      <c r="K97" s="6">
</c>
      <c r="L97" s="6" cm="1" t="str">
        <f t="array" ref="L97">IF(C97="","",IF(K97="Mort / Plus rien à faire","KO","OK"))</f>
        <v/>
      </c>
      <c r="M97" s="12">
</c>
      <c r="N97" s="12" cm="1" t="str">
        <f t="array" ref="N97">IF(OR(C97="",M97="",M97=0),"",M97)</f>
        <v/>
      </c>
      <c r="O97" s="12">
</c>
      <c r="P97" s="12" cm="1" t="str">
        <f t="array" ref="P97">IF(C97="","",IF(OR(O97="",O97=0),"-",O97))</f>
        <v/>
      </c>
      <c r="Q97" s="13">
</c>
      <c r="R97" s="9" cm="1" t="str">
        <f t="array" ref="R97">IF(C97="","",ROUND(Q97/1000000,3)&amp;" M€")</f>
        <v/>
      </c>
      <c r="S97" s="9">
</c>
      <c r="T97" s="9" cm="1" t="str">
        <f t="array" ref="T97">IF(C97="","",SUBSTITUTE(S97,"","")&amp;"%")</f>
        <v/>
      </c>
      <c r="U97" s="11" cm="1" t="str">
        <f t="array" ref="U97">IF(($N97="")*($P97=""),"",IF(($N97&lt;&gt;"")*($N97&gt;TODAY()-9)*($N97&lt;TODAY()+1)*($P97&lt;&gt;"")*($P97&gt;=TODAY())*($P97&lt;=TODAY()+13),"Semaine passée &amp; à venir",IF(($N97&lt;&gt;"")*($N97&gt;TODAY()-9)*($N97&lt;TODAY()+1),"Semaine passée",IF(($P97&lt;&gt;"")*($P97&gt;=TODAY())*($P97&lt;=TODAY()+13),"À venir","Autre"))))</f>
        <v/>
      </c>
      <c r="V97" s="5" cm="1" t="n">
        <f t="array" ref="V97">IF(C97&lt;&gt;"",1,0)</f>
        <v>0</v>
      </c>
      <c r="W97" s="5">
</c>
      <c r="X97" s="5">
</c>
      <c r="Y97" s="5">
</c>
      <c r="Z97" s="5">
</c>
      <c r="AA97" s="5">
</c>
      <c r="AB97" s="5">
</c>
      <c r="AC97" s="5">
</c>
      <c r="AD97" s="5">
</c>
      <c r="AE97" s="5">
</c>
      <c r="AF97" s="5">
</c>
      <c r="AG97" s="5">
</c>
      <c r="AH97" s="5">
</c>
      <c r="AI97" s="5">
</c>
      <c r="AJ97" s="5">
</c>
    </row>
    <row r="98" ht="81" customHeight="1">
      <c r="A98" s="6">
</c>
      <c r="B98" s="6">
</c>
      <c r="C98" s="9">
</c>
      <c r="D98" s="9">
</c>
      <c r="E98" s="6">
</c>
      <c r="F98" s="5">
</c>
      <c r="G98" s="10" cm="1" t="str">
        <f t="array" ref="G98">IF(F98="","",SUBSTITUTE(SUBSTITUTE(SUBSTITUTE(SUBSTITUTE(F98,"&lt;li&gt;",CHAR(10)),"&lt;/li&gt;",""),"&lt;br&gt;",CHAR(10)),"&lt;strong&gt;",""))</f>
        <v/>
      </c>
      <c r="H98" s="10" cm="1" t="str">
        <f t="array" ref="H98">IF(G98="","",SUBSTITUTE(SUBSTITUTE(SUBSTITUTE(SUBSTITUTE(SUBSTITUTE(G98,"&lt;p&gt;",""),"&lt;/p&gt;",""),"&lt;ul&gt;",""),"&lt;/ul&gt;",""),"&lt;/strong&gt;",""))</f>
        <v/>
      </c>
      <c r="I98" s="11" cm="1" t="str">
        <f t="array" ref="I98">IF(C98="","",IF(OR(H98="",H98=0,H98=FALSE),"-",H98))</f>
        <v/>
      </c>
      <c r="J98" s="5">
</c>
      <c r="K98" s="6">
</c>
      <c r="L98" s="6" cm="1" t="str">
        <f t="array" ref="L98">IF(C98="","",IF(K98="Mort / Plus rien à faire","KO","OK"))</f>
        <v/>
      </c>
      <c r="M98" s="12">
</c>
      <c r="N98" s="12" cm="1" t="str">
        <f t="array" ref="N98">IF(OR(C98="",M98="",M98=0),"",M98)</f>
        <v/>
      </c>
      <c r="O98" s="12">
</c>
      <c r="P98" s="12" cm="1" t="str">
        <f t="array" ref="P98">IF(C98="","",IF(OR(O98="",O98=0),"-",O98))</f>
        <v/>
      </c>
      <c r="Q98" s="13">
</c>
      <c r="R98" s="9" cm="1" t="str">
        <f t="array" ref="R98">IF(C98="","",ROUND(Q98/1000000,3)&amp;" M€")</f>
        <v/>
      </c>
      <c r="S98" s="9">
</c>
      <c r="T98" s="9" cm="1" t="str">
        <f t="array" ref="T98">IF(C98="","",SUBSTITUTE(S98,"","")&amp;"%")</f>
        <v/>
      </c>
      <c r="U98" s="11" cm="1" t="str">
        <f t="array" ref="U98">IF(($N98="")*($P98=""),"",IF(($N98&lt;&gt;"")*($N98&gt;TODAY()-9)*($N98&lt;TODAY()+1)*($P98&lt;&gt;"")*($P98&gt;=TODAY())*($P98&lt;=TODAY()+13),"Semaine passée &amp; à venir",IF(($N98&lt;&gt;"")*($N98&gt;TODAY()-9)*($N98&lt;TODAY()+1),"Semaine passée",IF(($P98&lt;&gt;"")*($P98&gt;=TODAY())*($P98&lt;=TODAY()+13),"À venir","Autre"))))</f>
        <v/>
      </c>
      <c r="V98" s="5" cm="1" t="n">
        <f t="array" ref="V98">IF(C98&lt;&gt;"",1,0)</f>
        <v>0</v>
      </c>
      <c r="W98" s="5">
</c>
      <c r="X98" s="5">
</c>
      <c r="Y98" s="5">
</c>
      <c r="Z98" s="5">
</c>
      <c r="AA98" s="5">
</c>
      <c r="AB98" s="5">
</c>
      <c r="AC98" s="5">
</c>
      <c r="AD98" s="5">
</c>
      <c r="AE98" s="5">
</c>
      <c r="AF98" s="5">
</c>
      <c r="AG98" s="5">
</c>
      <c r="AH98" s="5">
</c>
      <c r="AI98" s="5">
</c>
      <c r="AJ98" s="5">
</c>
    </row>
    <row r="99" ht="81" customHeight="1">
      <c r="A99" s="6">
</c>
      <c r="B99" s="6">
</c>
      <c r="C99" s="9">
</c>
      <c r="D99" s="9">
</c>
      <c r="E99" s="6">
</c>
      <c r="F99" s="5">
</c>
      <c r="G99" s="10" cm="1" t="str">
        <f t="array" ref="G99">IF(F99="","",SUBSTITUTE(SUBSTITUTE(SUBSTITUTE(SUBSTITUTE(F99,"&lt;li&gt;",CHAR(10)),"&lt;/li&gt;",""),"&lt;br&gt;",CHAR(10)),"&lt;strong&gt;",""))</f>
        <v/>
      </c>
      <c r="H99" s="10" cm="1" t="str">
        <f t="array" ref="H99">IF(G99="","",SUBSTITUTE(SUBSTITUTE(SUBSTITUTE(SUBSTITUTE(SUBSTITUTE(G99,"&lt;p&gt;",""),"&lt;/p&gt;",""),"&lt;ul&gt;",""),"&lt;/ul&gt;",""),"&lt;/strong&gt;",""))</f>
        <v/>
      </c>
      <c r="I99" s="11" cm="1" t="str">
        <f t="array" ref="I99">IF(C99="","",IF(OR(H99="",H99=0,H99=FALSE),"-",H99))</f>
        <v/>
      </c>
      <c r="J99" s="5">
</c>
      <c r="K99" s="6">
</c>
      <c r="L99" s="6" cm="1" t="str">
        <f t="array" ref="L99">IF(C99="","",IF(K99="Mort / Plus rien à faire","KO","OK"))</f>
        <v/>
      </c>
      <c r="M99" s="12">
</c>
      <c r="N99" s="12" cm="1" t="str">
        <f t="array" ref="N99">IF(OR(C99="",M99="",M99=0),"",M99)</f>
        <v/>
      </c>
      <c r="O99" s="12">
</c>
      <c r="P99" s="12" cm="1" t="str">
        <f t="array" ref="P99">IF(C99="","",IF(OR(O99="",O99=0),"-",O99))</f>
        <v/>
      </c>
      <c r="Q99" s="13">
</c>
      <c r="R99" s="9" cm="1" t="str">
        <f t="array" ref="R99">IF(C99="","",ROUND(Q99/1000000,3)&amp;" M€")</f>
        <v/>
      </c>
      <c r="S99" s="9">
</c>
      <c r="T99" s="9" cm="1" t="str">
        <f t="array" ref="T99">IF(C99="","",SUBSTITUTE(S99,"","")&amp;"%")</f>
        <v/>
      </c>
      <c r="U99" s="11" cm="1" t="str">
        <f t="array" ref="U99">IF(($N99="")*($P99=""),"",IF(($N99&lt;&gt;"")*($N99&gt;TODAY()-9)*($N99&lt;TODAY()+1)*($P99&lt;&gt;"")*($P99&gt;=TODAY())*($P99&lt;=TODAY()+13),"Semaine passée &amp; à venir",IF(($N99&lt;&gt;"")*($N99&gt;TODAY()-9)*($N99&lt;TODAY()+1),"Semaine passée",IF(($P99&lt;&gt;"")*($P99&gt;=TODAY())*($P99&lt;=TODAY()+13),"À venir","Autre"))))</f>
        <v/>
      </c>
      <c r="V99" s="5" cm="1" t="n">
        <f t="array" ref="V99">IF(C99&lt;&gt;"",1,0)</f>
        <v>0</v>
      </c>
      <c r="W99" s="5">
</c>
      <c r="X99" s="5">
</c>
      <c r="Y99" s="5">
</c>
      <c r="Z99" s="5">
</c>
      <c r="AA99" s="5">
</c>
      <c r="AB99" s="5">
</c>
      <c r="AC99" s="5">
</c>
      <c r="AD99" s="5">
</c>
      <c r="AE99" s="5">
</c>
      <c r="AF99" s="5">
</c>
      <c r="AG99" s="5">
</c>
      <c r="AH99" s="5">
</c>
      <c r="AI99" s="5">
</c>
      <c r="AJ99" s="5">
</c>
    </row>
    <row r="100" ht="81" customHeight="1">
      <c r="A100" s="6">
</c>
      <c r="B100" s="6">
</c>
      <c r="C100" s="9">
</c>
      <c r="D100" s="9">
</c>
      <c r="E100" s="6">
</c>
      <c r="F100" s="5">
</c>
      <c r="G100" s="10" cm="1" t="str">
        <f t="array" ref="G100">IF(F100="","",SUBSTITUTE(SUBSTITUTE(SUBSTITUTE(SUBSTITUTE(F100,"&lt;li&gt;",CHAR(10)),"&lt;/li&gt;",""),"&lt;br&gt;",CHAR(10)),"&lt;strong&gt;",""))</f>
        <v/>
      </c>
      <c r="H100" s="10" cm="1" t="str">
        <f t="array" ref="H100">IF(G100="","",SUBSTITUTE(SUBSTITUTE(SUBSTITUTE(SUBSTITUTE(SUBSTITUTE(G100,"&lt;p&gt;",""),"&lt;/p&gt;",""),"&lt;ul&gt;",""),"&lt;/ul&gt;",""),"&lt;/strong&gt;",""))</f>
        <v/>
      </c>
      <c r="I100" s="11" cm="1" t="str">
        <f t="array" ref="I100">IF(C100="","",IF(OR(H100="",H100=0,H100=FALSE),"-",H100))</f>
        <v/>
      </c>
      <c r="J100" s="5">
</c>
      <c r="K100" s="6">
</c>
      <c r="L100" s="6" cm="1" t="str">
        <f t="array" ref="L100">IF(C100="","",IF(K100="Mort / Plus rien à faire","KO","OK"))</f>
        <v/>
      </c>
      <c r="M100" s="12">
</c>
      <c r="N100" s="12" cm="1" t="str">
        <f t="array" ref="N100">IF(OR(C100="",M100="",M100=0),"",M100)</f>
        <v/>
      </c>
      <c r="O100" s="12">
</c>
      <c r="P100" s="12" cm="1" t="str">
        <f t="array" ref="P100">IF(C100="","",IF(OR(O100="",O100=0),"-",O100))</f>
        <v/>
      </c>
      <c r="Q100" s="13">
</c>
      <c r="R100" s="9" cm="1" t="str">
        <f t="array" ref="R100">IF(C100="","",ROUND(Q100/1000000,3)&amp;" M€")</f>
        <v/>
      </c>
      <c r="S100" s="9">
</c>
      <c r="T100" s="9" cm="1" t="str">
        <f t="array" ref="T100">IF(C100="","",SUBSTITUTE(S100,"","")&amp;"%")</f>
        <v/>
      </c>
      <c r="U100" s="11" cm="1" t="str">
        <f t="array" ref="U100">IF(($N100="")*($P100=""),"",IF(($N100&lt;&gt;"")*($N100&gt;TODAY()-9)*($N100&lt;TODAY()+1)*($P100&lt;&gt;"")*($P100&gt;=TODAY())*($P100&lt;=TODAY()+13),"Semaine passée &amp; à venir",IF(($N100&lt;&gt;"")*($N100&gt;TODAY()-9)*($N100&lt;TODAY()+1),"Semaine passée",IF(($P100&lt;&gt;"")*($P100&gt;=TODAY())*($P100&lt;=TODAY()+13),"À venir","Autre"))))</f>
        <v/>
      </c>
      <c r="V100" s="5" cm="1" t="n">
        <f t="array" ref="V100">IF(C100&lt;&gt;"",1,0)</f>
        <v>0</v>
      </c>
      <c r="W100" s="5">
</c>
      <c r="X100" s="5">
</c>
      <c r="Y100" s="5">
</c>
      <c r="Z100" s="5">
</c>
      <c r="AA100" s="5">
</c>
      <c r="AB100" s="5">
</c>
      <c r="AC100" s="5">
</c>
      <c r="AD100" s="5">
</c>
      <c r="AE100" s="5">
</c>
      <c r="AF100" s="5">
</c>
      <c r="AG100" s="5">
</c>
      <c r="AH100" s="5">
</c>
      <c r="AI100" s="5">
</c>
      <c r="AJ100" s="5">
</c>
    </row>
    <row r="101" ht="81" customHeight="1">
      <c r="A101" s="6">
</c>
      <c r="B101" s="6">
</c>
      <c r="C101" s="9">
</c>
      <c r="D101" s="9">
</c>
      <c r="E101" s="6">
</c>
      <c r="F101" s="5">
</c>
      <c r="G101" s="10" cm="1" t="str">
        <f t="array" ref="G101">IF(F101="","",SUBSTITUTE(SUBSTITUTE(SUBSTITUTE(SUBSTITUTE(F101,"&lt;li&gt;",CHAR(10)),"&lt;/li&gt;",""),"&lt;br&gt;",CHAR(10)),"&lt;strong&gt;",""))</f>
        <v/>
      </c>
      <c r="H101" s="10" cm="1" t="str">
        <f t="array" ref="H101">IF(G101="","",SUBSTITUTE(SUBSTITUTE(SUBSTITUTE(SUBSTITUTE(SUBSTITUTE(G101,"&lt;p&gt;",""),"&lt;/p&gt;",""),"&lt;ul&gt;",""),"&lt;/ul&gt;",""),"&lt;/strong&gt;",""))</f>
        <v/>
      </c>
      <c r="I101" s="11" cm="1" t="str">
        <f t="array" ref="I101">IF(C101="","",IF(OR(H101="",H101=0,H101=FALSE),"-",H101))</f>
        <v/>
      </c>
      <c r="J101" s="5">
</c>
      <c r="K101" s="6">
</c>
      <c r="L101" s="6" cm="1" t="str">
        <f t="array" ref="L101">IF(C101="","",IF(K101="Mort / Plus rien à faire","KO","OK"))</f>
        <v/>
      </c>
      <c r="M101" s="12">
</c>
      <c r="N101" s="12" cm="1" t="str">
        <f t="array" ref="N101">IF(OR(C101="",M101="",M101=0),"",M101)</f>
        <v/>
      </c>
      <c r="O101" s="12">
</c>
      <c r="P101" s="12" cm="1" t="str">
        <f t="array" ref="P101">IF(C101="","",IF(OR(O101="",O101=0),"-",O101))</f>
        <v/>
      </c>
      <c r="Q101" s="13">
</c>
      <c r="R101" s="9" cm="1" t="str">
        <f t="array" ref="R101">IF(C101="","",ROUND(Q101/1000000,3)&amp;" M€")</f>
        <v/>
      </c>
      <c r="S101" s="9">
</c>
      <c r="T101" s="9" cm="1" t="str">
        <f t="array" ref="T101">IF(C101="","",SUBSTITUTE(S101,"","")&amp;"%")</f>
        <v/>
      </c>
      <c r="U101" s="11" cm="1" t="str">
        <f t="array" ref="U101">IF(($N101="")*($P101=""),"",IF(($N101&lt;&gt;"")*($N101&gt;TODAY()-9)*($N101&lt;TODAY()+1)*($P101&lt;&gt;"")*($P101&gt;=TODAY())*($P101&lt;=TODAY()+13),"Semaine passée &amp; à venir",IF(($N101&lt;&gt;"")*($N101&gt;TODAY()-9)*($N101&lt;TODAY()+1),"Semaine passée",IF(($P101&lt;&gt;"")*($P101&gt;=TODAY())*($P101&lt;=TODAY()+13),"À venir","Autre"))))</f>
        <v/>
      </c>
      <c r="V101" s="5" cm="1" t="n">
        <f t="array" ref="V101">IF(C101&lt;&gt;"",1,0)</f>
        <v>0</v>
      </c>
      <c r="W101" s="5">
</c>
      <c r="X101" s="5">
</c>
      <c r="Y101" s="5">
</c>
      <c r="Z101" s="5">
</c>
      <c r="AA101" s="5">
</c>
      <c r="AB101" s="5">
</c>
      <c r="AC101" s="5">
</c>
      <c r="AD101" s="5">
</c>
      <c r="AE101" s="5">
</c>
      <c r="AF101" s="5">
</c>
      <c r="AG101" s="5">
</c>
      <c r="AH101" s="5">
</c>
      <c r="AI101" s="5">
</c>
      <c r="AJ101" s="5">
</c>
    </row>
    <row r="102" ht="81" customHeight="1">
      <c r="A102" s="6">
</c>
      <c r="B102" s="6">
</c>
      <c r="C102" s="9">
</c>
      <c r="D102" s="9">
</c>
      <c r="E102" s="6">
</c>
      <c r="F102" s="5">
</c>
      <c r="G102" s="10" cm="1" t="str">
        <f t="array" ref="G102">IF(F102="","",SUBSTITUTE(SUBSTITUTE(SUBSTITUTE(SUBSTITUTE(F102,"&lt;li&gt;",CHAR(10)),"&lt;/li&gt;",""),"&lt;br&gt;",CHAR(10)),"&lt;strong&gt;",""))</f>
        <v/>
      </c>
      <c r="H102" s="10" cm="1" t="str">
        <f t="array" ref="H102">IF(G102="","",SUBSTITUTE(SUBSTITUTE(SUBSTITUTE(SUBSTITUTE(SUBSTITUTE(G102,"&lt;p&gt;",""),"&lt;/p&gt;",""),"&lt;ul&gt;",""),"&lt;/ul&gt;",""),"&lt;/strong&gt;",""))</f>
        <v/>
      </c>
      <c r="I102" s="11" cm="1" t="str">
        <f t="array" ref="I102">IF(C102="","",IF(OR(H102="",H102=0,H102=FALSE),"-",H102))</f>
        <v/>
      </c>
      <c r="J102" s="5">
</c>
      <c r="K102" s="6">
</c>
      <c r="L102" s="6" cm="1" t="str">
        <f t="array" ref="L102">IF(C102="","",IF(K102="Mort / Plus rien à faire","KO","OK"))</f>
        <v/>
      </c>
      <c r="M102" s="12">
</c>
      <c r="N102" s="12" cm="1" t="str">
        <f t="array" ref="N102">IF(OR(C102="",M102="",M102=0),"",M102)</f>
        <v/>
      </c>
      <c r="O102" s="12">
</c>
      <c r="P102" s="12" cm="1" t="str">
        <f t="array" ref="P102">IF(C102="","",IF(OR(O102="",O102=0),"-",O102))</f>
        <v/>
      </c>
      <c r="Q102" s="13">
</c>
      <c r="R102" s="9" cm="1" t="str">
        <f t="array" ref="R102">IF(C102="","",ROUND(Q102/1000000,3)&amp;" M€")</f>
        <v/>
      </c>
      <c r="S102" s="9">
</c>
      <c r="T102" s="9" cm="1" t="str">
        <f t="array" ref="T102">IF(C102="","",SUBSTITUTE(S102,"","")&amp;"%")</f>
        <v/>
      </c>
      <c r="U102" s="11" cm="1" t="str">
        <f t="array" ref="U102">IF(($N102="")*($P102=""),"",IF(($N102&lt;&gt;"")*($N102&gt;TODAY()-9)*($N102&lt;TODAY()+1)*($P102&lt;&gt;"")*($P102&gt;=TODAY())*($P102&lt;=TODAY()+13),"Semaine passée &amp; à venir",IF(($N102&lt;&gt;"")*($N102&gt;TODAY()-9)*($N102&lt;TODAY()+1),"Semaine passée",IF(($P102&lt;&gt;"")*($P102&gt;=TODAY())*($P102&lt;=TODAY()+13),"À venir","Autre"))))</f>
        <v/>
      </c>
      <c r="V102" s="5" cm="1" t="n">
        <f t="array" ref="V102">IF(C102&lt;&gt;"",1,0)</f>
        <v>0</v>
      </c>
      <c r="W102" s="5">
</c>
      <c r="X102" s="5">
</c>
      <c r="Y102" s="5">
</c>
      <c r="Z102" s="5">
</c>
      <c r="AA102" s="5">
</c>
      <c r="AB102" s="5">
</c>
      <c r="AC102" s="5">
</c>
      <c r="AD102" s="5">
</c>
      <c r="AE102" s="5">
</c>
      <c r="AF102" s="5">
</c>
      <c r="AG102" s="5">
</c>
      <c r="AH102" s="5">
</c>
      <c r="AI102" s="5">
</c>
      <c r="AJ102" s="5">
</c>
    </row>
  </sheetData>
  <conditionalFormatting sqref="N4:N102">
    <cfRule priority="1" stopIfTrue="0" type="expression" dxfId="0">
      <formula>($N4&lt;&gt;"")*(($N4&gt;TODAY()-9)*($N4&lt;TODAY()+1)+(INT($N4)=TODAY()))
</formula>
    </cfRule>
  </conditionalFormatting>
  <conditionalFormatting sqref="P4:P102">
    <cfRule priority="1" stopIfTrue="0" type="expression" dxfId="1">
      <formula>($P4&lt;&gt;"")*($P4&gt;=TODAY())*($P4&lt;=TODAY()+13)</formula>
    </cfRule>
  </conditionalFormatting>
  <conditionalFormatting sqref="I4:I102">
    <cfRule priority="1" stopIfTrue="0" type="expression" dxfId="0">
      <formula>(($N4&lt;&gt;"")*($N4&gt;TODAY()-9)*($N4&lt;=TODAY())) + (($P4&lt;&gt;"")*($P4&gt;=TODAY())*($P4&lt;=TODAY()+13))</formula>
    </cfRule>
  </conditionalFormatting>
  <conditionalFormatting sqref="U4:U102">
    <cfRule priority="1" stopIfTrue="0" type="containsText" text="Semaine passée &amp; à venir" operator="containsText" dxfId="0">
      <formula>NOT(ISERROR(SEARCH("Semaine passée &amp; à venir",U4)))</formula>
    </cfRule>
  </conditionalFormatting>
  <conditionalFormatting sqref="U4:U102">
    <cfRule priority="1" stopIfTrue="0" type="containsText" text="Semaine passée" operator="containsText" dxfId="0">
      <formula>NOT(ISERROR(SEARCH("Semaine passée",U4)))</formula>
    </cfRule>
  </conditionalFormatting>
  <conditionalFormatting sqref="U4:U102">
    <cfRule priority="1" stopIfTrue="0" type="containsText" text="À venir" operator="containsText" dxfId="0">
      <formula>NOT(ISERROR(SEARCH("À venir",U4)))</formula>
    </cfRule>
  </conditionalFormatting>
  <tableParts count="1">
    <tablePart r:id="rId1"/>
  </tableParts>
</worksheet>
</file>