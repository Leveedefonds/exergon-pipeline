
<file path=[Content_Types].xml><?xml version="1.0" encoding="utf-8"?>
<Types xmlns="http://schemas.openxmlformats.org/package/2006/content-types">
  <Default Extension="avif" ContentType="image/avif"/>
  <Default Extension="bmp" ContentType="image/bmp"/>
  <Default Extension="gif" ContentType="image/gif"/>
  <Default Extension="ico" ContentType="image/vnd.microsoft.icon"/>
  <Default Extension="jpeg" ContentType="image/jpeg"/>
  <Default Extension="png" ContentType="image/png"/>
  <Default Extension="tiff" ContentType="image/tiff"/>
  <Default Extension="webp" ContentType="image/webp"/>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table+xml" PartName="/xl/tables/table1.xml"/>
  <Override ContentType="application/vnd.openxmlformats-officedocument.spreadsheetml.worksheet+xml" PartName="/xl/worksheets/sheet0.xml"/>
  <Override ContentType="application/vnd.openxmlformats-officedocument.spreadsheetml.sheetMetadata+xml" PartName="/xl/metadata.xml"/>
  <Override ContentType="application/vnd.openxmlformats-officedocument.spreadsheetml.styles+xml" PartName="/xl/styles.xml"/>
  <Override ContentType="application/vnd.openxmlformats-officedocument.spreadsheetml.sharedStrings+xml" PartName="/xl/sharedStrings.xml"/>
</Types>
</file>

<file path=_rels/.rels><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state="visible" name="Pipeline (Liste #1)" sheetId="1" r:id="rId1"/>
  </sheets>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<sst xmlns="http://schemas.openxmlformats.org/spreadsheetml/2006/main" count="189" uniqueCount="189">
  <si>
    <t xml:space="preserve">    Fichier LP</t>
  </si>
  <si>
    <t>Fonds</t>
  </si>
  <si>
    <t>Typologie</t>
  </si>
  <si>
    <t>Entité</t>
  </si>
  <si>
    <t>Contact</t>
  </si>
  <si>
    <t>Contact Levée</t>
  </si>
  <si>
    <t>Commentaire</t>
  </si>
  <si>
    <t>Commentaire2</t>
  </si>
  <si>
    <t>Commentaire3</t>
  </si>
  <si>
    <t>Commentaire4</t>
  </si>
  <si>
    <t>Activités</t>
  </si>
  <si>
    <t>Étape</t>
  </si>
  <si>
    <t>Intérêt</t>
  </si>
  <si>
    <t>Date de dernière activité</t>
  </si>
  <si>
    <t>Dernière activité</t>
  </si>
  <si>
    <t>Date de prochaine activité</t>
  </si>
  <si>
    <t>Prochaine activité</t>
  </si>
  <si>
    <t>Revenu attendu</t>
  </si>
  <si>
    <t>Ticket</t>
  </si>
  <si>
    <t>% de Maturation</t>
  </si>
  <si>
    <t>Matu.</t>
  </si>
  <si>
    <t>Tri</t>
  </si>
  <si>
    <t>compteur</t>
  </si>
  <si>
    <t>DEEPTECH - Exergon</t>
  </si>
  <si>
    <t>Fonds de fonds</t>
  </si>
  <si>
    <t>ARKEA AM FUNDS</t>
  </si>
  <si>
    <t>Emmanuelle Bonale</t>
  </si>
  <si>
    <t>Romain Andrieu</t>
  </si>
  <si>
    <t>&lt;p&gt;LOI signée ARKEA AM &amp;lt;&amp;gt; AUDACIA le 30/10/2026. RDV physique terminé, action clôturée. Question prorogation à se poser en déc 2026. Nouvelle piste créée pour équipe Ventes. Pas de retour prospect sur fonds, prochaines étapes non précisées dans les échanges.&lt;/p&gt;</t>
  </si>
  <si>
    <t>Mort / Plus rien à faire</t>
  </si>
  <si>
    <t>58.9</t>
  </si>
  <si>
    <t>Single Family Office</t>
  </si>
  <si>
    <t>SOFTKLIX Europe UG (haftungsbeschränkt)</t>
  </si>
  <si>
    <t>Klaus Maier</t>
  </si>
  <si>
    <t>Levée de Fonds</t>
  </si>
  <si>
    <t>&lt;p&gt;27/04 proposition call, prospect intéressé, souhaite échanger après avoir étudié les infos reçues, mentionne un projet d'investissement dans une éolienne via family office. 04/05 relance effectuée pour organiser le call. Pas d'autres actions ni retours prospect à ce stade. Prochaine étape&amp;nbsp;: fixer call.&lt;/p&gt;</t>
  </si>
  <si>
    <t>relance</t>
  </si>
  <si>
    <t>Interêt indicatif - A creuser</t>
  </si>
  <si>
    <t>30</t>
  </si>
  <si>
    <t>Banque (haut de bilan)</t>
  </si>
  <si>
    <t>Caisse d'Épargne Normandie</t>
  </si>
  <si>
    <t>Aurelien Valet</t>
  </si>
  <si>
    <t>&lt;p&gt;Multiples échanges avec CE Normandie, Otrera, Blue Capsule, focus fonds de fonds et nucléaire normand. Intérêt marqué pour Straton/Exergon. RDV physique réalisé, attente retour CEN (Christine Dropsy). Ok de principe pour RDV mandataire sous un mois. Décision fonds sous un mois. LCL/CA concurrents.&lt;/p&gt;</t>
  </si>
  <si>
    <t>prochain rdv avec la BDR Agends Louvet et Nathalie Cratière &lt;&gt; Exergon</t>
  </si>
  <si>
    <t>Corporate</t>
  </si>
  <si>
    <t>SIEMENS ENERGY SAS</t>
  </si>
  <si>
    <t>Anne-Laure de Chammard</t>
  </si>
  <si>
    <t>&lt;p&gt;Nouvelle piste créée pour équipe Ventes, origine : communication LinkedIn Anne-Laure de Chammard (post du 23/04/2026). Aucun échange, action ou retour prospect enregistré à ce jour. Pas d'activité planifiée ni de feedback sur fonds présentés. Prochaines étapes non définies.&lt;/p&gt;</t>
  </si>
  <si>
    <t>20</t>
  </si>
  <si>
    <t>Assurance/Mutuelle</t>
  </si>
  <si>
    <t>Crédit Mutuel ARKEA</t>
  </si>
  <si>
    <t>Yann Choquet</t>
  </si>
  <si>
    <t>&lt;p&gt;RDV 25/09/2025 avec Julien Carmona (DG ARKEA), Stéphanie Coulon Renouvel reprend le dossier (fonds de fonds), priorité au Spatial, fort intérêt territoire. Dernière action : préparation réunion stratégique (février STRATON&amp;lt;&amp;gt;SLPE EXPANSION). Prochaine étape : réunion prévue 14/01/2026.&lt;/p&gt;</t>
  </si>
  <si>
    <t>10</t>
  </si>
  <si>
    <t>MUTUELLE DE POITIERS ASSURANCES</t>
  </si>
  <si>
    <t>Romain JAHAN</t>
  </si>
  <si>
    <t>&lt;p&gt;RDV physique 5/03/2026 : Straton pas inscrit comité investissement, rien avant fin mars. Ok pour 1M€ Straton, demande incentive closing tech. 3 axes : tech (TIBI), souveraineté (Straton), mino défense (LaTourCapital). Prio Straton/Calderion, Exergon évoqué fin 2026. Prochaine étape : lancer post dossier Straton.&lt;/p&gt;</t>
  </si>
  <si>
    <t>Intérêt à qualifier</t>
  </si>
  <si>
    <t>Multi Family Office</t>
  </si>
  <si>
    <t>Bertreur Family Office</t>
  </si>
  <si>
    <t>Marius Bergander</t>
  </si>
  <si>
    <t>&lt;p&gt;07/05 : Nouvelle piste créée pour équipe Ventes. RDV en cours de programmation. 28/05 : Mail de relance envoyé. Pas d'autres activités ni retours du prospect à ce jour. Prochaine étape : attendre retour suite à la relance, aucun passage en comité mentionné.&lt;/p&gt;</t>
  </si>
  <si>
    <t>UBS</t>
  </si>
  <si>
    <t>Michael BRUNNER</t>
  </si>
  <si>
    <t>&lt;p&gt;Prospect injoignable, aucune réponse malgré relances. Dernière action : tentative de reprise totale du dossier, sans succès. Prochaine étape : relancer ou abandonner si absence de retour. Aucun retour du prospect sur les fonds présentés, aucune conclusion partagée. Situation bloquée à ce stade.&lt;/p&gt;</t>
  </si>
  <si>
    <t>A relancer</t>
  </si>
  <si>
    <t>MONCEAU GENERALE ASSURANCES</t>
  </si>
  <si>
    <t>Gilles Dupin</t>
  </si>
  <si>
    <t>&lt;p&gt;Aucune activité récente ni échange spécifique détecté avec MONCEAU GENERALE ASSURANCES. Nouvelle piste créée pour équipe Ventes, aucun suivi ou interaction supplémentaire relevé. Pas de retour prospect, pas d'étape à venir identifiée. Infos générales : acteur assurance, présence historique France.&lt;/p&gt;</t>
  </si>
  <si>
    <t>Conseil</t>
  </si>
  <si>
    <t>ALL INVEST</t>
  </si>
  <si>
    <t>Ralph Olmost</t>
  </si>
  <si>
    <t>Edouard Gaurier</t>
  </si>
  <si>
    <t>&lt;p&gt;Nouvelle piste créée équipe Ventes. Tentative d'enrichissement lead échouée (email invalide). Activité : gros client intéressé deeptech, résumé : intérêt marqué. Prochaine étape non précisée, suivi à prévoir. Aucun retour prospect sur fonds présenté, pas de conclusion mentionnée.&lt;/p&gt;</t>
  </si>
  <si>
    <t>Gros client intéressé sur la deeptech</t>
  </si>
  <si>
    <t>MoonFare</t>
  </si>
  <si>
    <t>Philip Meschke</t>
  </si>
  <si>
    <t>&lt;p&gt;Relance 28/05, pas de retour. Prospect indique priorités inchangées, équipe très occupée, propose de reprendre contact en Q4. Déjà signalé en avril : pipeline plein, réouverture possible plus tard dans l'année. Prochaine étape : relance à prévoir fin Q3/début Q4, attente retour prospect.&lt;/p&gt;</t>
  </si>
  <si>
    <t>Pas encore prêt - A alimenter</t>
  </si>
  <si>
    <t>Johann RIVALAND</t>
  </si>
  <si>
    <t>&lt;p&gt;Deck envoyé après rencontre Charles/Laurent, suite à lead LG. Suivi à faire : contacter Thomas Riche Poussin à Londres pour avancer discussion fonds de fonds. Nouvelle piste créée équipe Ventes. Pas de retour prospect sur fonds pour l’instant. Dernière action 29/04/2026.&lt;/p&gt;</t>
  </si>
  <si>
    <t>BNPP SOLAR IMPULSE VENTURES</t>
  </si>
  <si>
    <t>Yann Lagalaye</t>
  </si>
  <si>
    <t>&lt;p&gt;Nouvelle piste créée pour équipe Ventes, relance effectuée par Romain Andrieu. Pas d'autres actions ou retours du prospect mentionnés. Prochaines étapes non précisées, attente de réponse suite à la relance.&lt;/p&gt;</t>
  </si>
  <si>
    <t>WAI</t>
  </si>
  <si>
    <t>Florent Garcia</t>
  </si>
  <si>
    <t>&lt;p&gt;Nouvelle piste créée pour équipe Ventes, relance effectuée par Romain Andrieu le 23/04/2026. Aucune autre activité ou retour prospect enregistré à ce jour. Prochaines étapes non planifiées, attente de réponse suite relance.&lt;/p&gt;</t>
  </si>
  <si>
    <t>ARKEA CAPITAL</t>
  </si>
  <si>
    <t>Pierre-Emmanuel Boulic</t>
  </si>
  <si>
    <t>&lt;p&gt;Thierry Vallet rejoint GP 1,3bn (ARKEA Capital) avec Pierre-Emmanuel Boulic, relation positive. Insistance sur l'identité du responsable ESG côté équipe. Nouvelle piste créée pour équipe Ventes. Pas d'autres actions ou retours prospect sur fonds. Prochaines étapes non précisées.&lt;/p&gt;</t>
  </si>
  <si>
    <t>Consultant</t>
  </si>
  <si>
    <t>Xpertiste Lab</t>
  </si>
  <si>
    <t>Victoria D'Hondt</t>
  </si>
  <si>
    <t>&lt;p&gt;27/04 : Présentation activité, proposition rdv 4/05. 15/05 : Call avec Xpertise Lab (Romain, Théo, Victoria d'Honte), cabinet conseil HNWI/Family Offices, statut introducer, commission dégressive, test levée 1M€ secteur spatial. Actions : transmission CV/KYC Victoria, attente validation RCCI Lydia.&lt;/p&gt;</t>
  </si>
  <si>
    <t>Echange - Visio</t>
  </si>
  <si>
    <t>Heritage Capital Wealth</t>
  </si>
  <si>
    <t>Charles Nakouzi</t>
  </si>
  <si>
    <t>&lt;p&gt;28/04/26 : prospect intéressé, propose un call, Théo Salerno organise, mail envoyé avec 3 créneaux. RDV annulé, à recaler, relance mail faite. Pas d'autres activités ni retours prospect sur fonds présentés. Prochaine étape : reprogrammer le RDV.&lt;/p&gt;</t>
  </si>
  <si>
    <t>GOLDBECK</t>
  </si>
  <si>
    <t>Kelley Luyken</t>
  </si>
  <si>
    <t>&lt;p&gt;28/04 : Présentation focus deeptech/climat, contact transmis à Kelley pour évaluation thématique, attente retour. 28/05 : Relance envoyée, prospect demande avancement levée et calendrier des fonds, indique réouverture opportunités en 2027. Pas d'autres actions prévues à ce stade.&lt;/p&gt;</t>
  </si>
  <si>
    <t>HNWI</t>
  </si>
  <si>
    <t>Xavier de la Chapelle</t>
  </si>
  <si>
    <t>&lt;p&gt;Contact initié sur recommandation de Charles Beigbeder, intérêt exprimé pour fonds VC deeptech (Newspace, Nouveau nucléaire). Mail envoyé pour proposer une rencontre et partager des éléments. Pas de retour ni d'activité ultérieure enregistrée. Prochaine étape : attendre réponse du prospect.&lt;/p&gt;</t>
  </si>
  <si>
    <t>Marc Cellier</t>
  </si>
  <si>
    <t>&lt;p data-oe-version="2.0"&gt;Piste créée pour équipe Ventes sur recommandation CB. Premier contact par mail, intérêt identifié pour fonds VC deeptech, focus Newspace et Nouveau nucléaire. Proposition de rencontre envoyée, attente retour prospect. Pas d'autres actions ou retours à ce stade.&lt;/p&gt;</t>
  </si>
  <si>
    <t>&lt;p data-oe-version="2.0"&gt;Contact initié sur recommandation CB. Intérêt exprimé pour fonds VC deeptech, focus Newspace et Nouveau nucléaire. Proposition de rencontre envoyée, attente retour prospect pour fixer échange. Pas d'autres actions ou retours prospect enregistrés à ce stade.&lt;/p&gt;</t>
  </si>
  <si>
    <t>Technip Energies</t>
  </si>
  <si>
    <t>Aurelia GOMEZ</t>
  </si>
  <si>
    <t>&lt;p&gt;Nouvelle piste créée pour équipe Ventes par Romain Andrieu. Aucun échange, activité ou suivi enregistré à ce jour. Pas d'informations sur le contexte de création, pas de retour prospect, aucune action ou prochaine étape planifiée actuellement.&lt;/p&gt;</t>
  </si>
  <si>
    <t>Mapfre</t>
  </si>
  <si>
    <t>José-Louis JIMÉNEZ GUAJARDO-FAJARDO</t>
  </si>
  <si>
    <t>&lt;p&gt;Piste créée pour équipe Ventes. Discussions en lien avec Covea sur Entroview/GIE entretien batterie électrique. Retour négatif sur COVEA, Mapfre probablement aussi. Aucune activité ou action récente, pas de prochaine étape identifiée. Pas d'intérêt manifeste des prospects pour les fonds présentés.&lt;/p&gt;</t>
  </si>
  <si>
    <t>à relancer en 2027</t>
  </si>
  <si>
    <t>CGP</t>
  </si>
  <si>
    <t>MEESCHAERT GESTION PRIVEE</t>
  </si>
  <si>
    <t>Charles Bienaime</t>
  </si>
  <si>
    <t>&lt;p&gt;RDV 10/04 présentation VC Energie/Procession. 07/05 supports envoyés sur Exergon (nucléaire/stockage), Calderion (hydrogène/nouveaux fuels), Quantonation (fonds 2 clôturé). Mise en relation avec Christian Contzen. Intérêt Charles pour recevoir Energy Tech Circle au 30 av. Kleber. Prochaines étapes : organiser rencontre.&lt;/p&gt;</t>
  </si>
  <si>
    <t>le 7 mai lancement de la présentation chez Meeschaert d'un event FO/Gestion privée</t>
  </si>
  <si>
    <t>Caisse d'Epargne Provence Alpes Corse</t>
  </si>
  <si>
    <t>Jérémy ESTRADER</t>
  </si>
  <si>
    <t>&lt;p&gt;Interactions avec Otrera (participation), CE Normandie, CEPAC. Otrera implante une usine à Cherbourg, dossier financement en analyse CEPAC/CEN. Mise en relation CEN sur Nouveau Nuc. Discussion possible fonds de fonds CEPAC. Objectif : soutenir Otrera face Crédit Agricole/LCL. Prochaines étapes : suivi financement.&lt;/p&gt;</t>
  </si>
  <si>
    <t>faire le suivi suite au call du 18 mai avec la CEN.</t>
  </si>
  <si>
    <t>Peri</t>
  </si>
  <si>
    <t>Felix Schönwasser</t>
  </si>
  <si>
    <t>&lt;p&gt;Premier contact positif, prospect intéressé, doc transmise, proposition d'une session deep-dive sur le fonds. Plusieurs relances effectuées suite à absence de réponse. RDV physique réalisé, synthèse non détaillée, RDV programmé le 28/04/2026. Dernière relance envoyée le 28/05/2026, attente retour.&lt;/p&gt;</t>
  </si>
  <si>
    <t>Maryland</t>
  </si>
  <si>
    <t>Leonardo Severino</t>
  </si>
  <si>
    <t>&lt;p&gt;Call 14/04 : équipe investissement a vendu 2/3 portefeuille, généré liquidités, 63% réinvesti, reste 34% à allouer. Nouvelle thèse : VC, focus qualité équipes/thématiques. Relances 27/04 et 28/05, pas de retour à ce jour. Prochaine étape : attendre réponse, relance prévue.&lt;/p&gt;</t>
  </si>
  <si>
    <t>Relance</t>
  </si>
  <si>
    <t>Benka</t>
  </si>
  <si>
    <t>Aleksa L</t>
  </si>
  <si>
    <t>&lt;p&gt;16/04 : prospect intéressé, retour positif sur la thématique, puis silence. 27/04 : relance mail par Théo Salerno. 28/05 : nouvelle relance. Prochaine étape : relance à prévoir, pas de réponse récente du prospect. Pas d'autres actions ou retours notables à ce jour.&lt;/p&gt;</t>
  </si>
  <si>
    <t>MSR Family Office</t>
  </si>
  <si>
    <t>Nicole Schulze</t>
  </si>
  <si>
    <t>&lt;p&gt;17/04: documents envoyés, équipe prospect très occupée, retour à venir par mail. 21/04: fonds jugés intéressants mais prudence sur nouveaux gérants, timing non opportun, rester en contact. 27/04: proposition de call par Théo Salerno. 28/05: relance, pas de retour à ce jour. Prochaine étape : attendre réponse.&lt;/p&gt;</t>
  </si>
  <si>
    <t>COVEA FINANCE</t>
  </si>
  <si>
    <t>Olivier Leborgne</t>
  </si>
  <si>
    <t>&lt;p&gt;Café avec Guillaume Danssault (COVEA) après relance post-newsletter EXERGON n°10. COVEA : 80% re-up PE, 20% nouvelles stratégies PE, exit autres stratégies dont Exergon. Attente validation allocation Non coté PE Straton. Ouverture possible sur La Défense. Prochaine étape : planifier RDV.&lt;/p&gt;</t>
  </si>
  <si>
    <t>0</t>
  </si>
  <si>
    <t>Fonds souverain</t>
  </si>
  <si>
    <t>ENEC</t>
  </si>
  <si>
    <t>Yvon Luc Mompeyssin</t>
  </si>
  <si>
    <t>&lt;p&gt;RDV physique 9/03/2026 ENEC : échanges sur besoins tech, évaluation R&amp;amp;D par Nind, ouverture DataRoom, focus sur impact fonds pour programme nucléaire UAE, scaling, partenariats newtech, Forward Investments (DEWA) évoqué. Prochaine étape : préDD, poursuite discussions tech/invest.&lt;/p&gt;</t>
  </si>
  <si>
    <t>Pitch du 9 mars 2026 / Ok pour préDD.</t>
  </si>
  <si>
    <t>&lt;p&gt;RDV présentation avec DESJARDINS CAPITAL réalisé, feedback reçu : présentation faite, sujet clôturé, aucune suite prévue. Pas d'autres activités ou échanges récents, ni prochaines étapes identifiées. Piste créée pour équipe Ventes, aucune mention de contexte particulier à la création.&lt;/p&gt;</t>
  </si>
  <si>
    <t>Fondation</t>
  </si>
  <si>
    <t>FONDAZIONE CASSA DI RISPARMIO DELLE PROV. LOMBARDE - CARIPLO</t>
  </si>
  <si>
    <t>Francesco Ceci</t>
  </si>
  <si>
    <t>&lt;p&gt;Relance effectuée le 6 mars par Romain Andrieu. RDV présentation Exergon prévu le 3 décembre 2025. Dernière action notée : "Fait". Pas de retour prospect ni conclusion sur fonds. Prochaine étape : suivi post-RDV à planifier. Pas d'autres activités ou retours recensés.&lt;/p&gt;</t>
  </si>
  <si>
    <t>relance faite le 6 mars &lt;&gt; RDV du 3 decembre 2025 de présentation pour Exergon</t>
  </si>
  <si>
    <t>DEEPTECH - Calderion, DEEPTECH - Exergon</t>
  </si>
  <si>
    <t>Association</t>
  </si>
  <si>
    <t>United Nations Development Program</t>
  </si>
  <si>
    <t>Lakshmi Viswanathan</t>
  </si>
  <si>
    <t>Amaury Daignes</t>
  </si>
  <si>
    <t>&lt;p&gt;03.03 prospection Allemagne pour Expansion &amp;amp; Calderion, intérêt confirmé. 10.03 visio Teams avec Lakshmi Viswanathan (UNDP), Calderion &amp;amp; Exergon : qualification UNDP, présentation fonds, échanges sur synergies, focus impact investing, climat, SDG, fonds GCF. Prochaines étapes : envoyer teasers Calderion/Exergon, contacter UN CDF/GCF.&lt;/p&gt;</t>
  </si>
  <si>
    <t>Probablement mort</t>
  </si>
  <si>
    <t>Shell venture</t>
  </si>
  <si>
    <t>Leonardo SPANU</t>
  </si>
  <si>
    <t>&lt;p&gt;Aucune activité menée sur le prospect. Un nouvelle piste a été créée pour l'équipe "Ventes". Aucun échange, action ou retour prospect enregistré à ce jour. Pas de suivi, pas de prochaine étape identifiée.&lt;/p&gt;</t>
  </si>
  <si>
    <t>Fonds de pension</t>
  </si>
  <si>
    <t>Oslo Pensjonsforsikring AS</t>
  </si>
  <si>
    <t>Ryan El Houssein</t>
  </si>
  <si>
    <t>&lt;p&gt;Process interne OPF 2025 sur private markets, décision d'investir dans GPs nordiques, BP finalisé mi-avril 2026. Mandat possible pour stratégie Aerospace &amp;amp; Defense (base Suède). Fonds new nuclear exclu (GP français). Prochain RDV prévu janv 2027. Attente validation BP, contact investisseurs Oslo possible.&lt;/p&gt;</t>
  </si>
  <si>
    <t>rdv dans en janv 2027</t>
  </si>
  <si>
    <t>BPCE ASSURANCES</t>
  </si>
  <si>
    <t>Corinne Cipiere</t>
  </si>
  <si>
    <t>&lt;p&gt;BPCE Ass via Flexstone refuse offre, trop tôt pour eux, préfèrent early growth/TIBI. Ticket visé 8M€. Discussions Flexstone sans suite, assureur non réactif. Prochain RDV 11 juin pour quantonation. Petit-déj 15/10/25 avec Corinne Cipière (DG BPCE Ass), lead JF Coppe. Enrichissement lead impossible (email invalide).&lt;/p&gt;</t>
  </si>
  <si>
    <t>rdv Cross Sale QUANTO / 11 juin</t>
  </si>
  <si>
    <t>MVestenergy</t>
  </si>
  <si>
    <t>Jonny Hesthammer</t>
  </si>
  <si>
    <t>&lt;p&gt;Aucune activité menée sur le prospect. Un nouvelle piste a été créée pour l'équipe "Ventes". Aucun échange, action ou retour prospect enregistré à ce jour. Pas de prochaines étapes identifiées ni de suivi documenté dans les messages ou activités.&lt;/p&gt;</t>
  </si>
  <si>
    <t>AXA</t>
  </si>
  <si>
    <t>Benjamin Komarnicki</t>
  </si>
  <si>
    <t>&lt;p&gt;Relance ciblée sur EXERGON, prospect très axé PE, peu ouvert VC, suggestion de contacter Cardif. 30/09/2025: absence de réponse, RDV le 5 mai sur autre sujet, attente traitement Saptial, AXA discute avec Entrooview. Relances faites auprès de Benjamin Komarnicki. Prochaine étape : relance prévue 04/01/2027.&lt;/p&gt;</t>
  </si>
  <si>
    <t>pas de vc / super collé sur le PE; probablement encore plus que les autres assureurs / aller voir Cardif.</t>
  </si>
  <si>
    <t>Public</t>
  </si>
  <si>
    <t>European Organization for Nuclear Research - CERN</t>
  </si>
  <si>
    <t>Elena MANOLA</t>
  </si>
  <si>
    <t>&lt;p&gt;Aucune activité menée sur le prospect. Infos disponibles : Opportunité European Organization for Nuclear Research (CERN), grand laboratoire de physique des particules, plus de 2 500 employés, 12 000 scientifiques, connu pour le LHC. Aucune action, échange ou retour prospect enregistré à ce jour.&lt;/p&gt;</t>
  </si>
  <si>
    <t>MATMUT</t>
  </si>
  <si>
    <t>Léovic LECLUZE</t>
  </si>
  <si>
    <t>&lt;p&gt;Leovic confirme : pas de PE defense, pas de VC. Aucun intérêt pour ces fonds exprimé par le prospect. Dernière activité le 13/04/2026. Pas de prochaines actions prévues à ce stade. Aucun retour ou demande complémentaire identifié dans les échanges récents.&lt;/p&gt;</t>
  </si>
  <si>
    <t>Leovic confirme Pas de PE defense et pas de vc</t>
  </si>
  <si>
    <t>DESJARDINS (CC DESJARDINS)</t>
  </si>
  <si>
    <t>Danielle Filistin</t>
  </si>
  <si>
    <t>&lt;p&gt;Aucune activité menée sur le prospect. Nouvelle piste créée pour l'équipe Ventes, aucun échange ou action complémentaire enregistrée à ce jour, pas de retour ni d'étape suivante identifiée. Suivi à initier, aucune interaction ou feedback prospect recensé pour l'instant.&lt;/p&gt;</t>
  </si>
  <si>
    <t>rdv du 14 avril / prise d'information sur EXERGOIN</t>
  </si>
</sst>
</file>

<file path=xl/styles.xml><?xml version="1.0" encoding="utf-8"?>
<styleSheet xmlns="http://schemas.openxmlformats.org/spreadsheetml/2006/main" xmlns:r="http://schemas.openxmlformats.org/officeDocument/2006/relationships">
  <numFmts count="2">
    <numFmt numFmtId="164" formatCode="dd/mm/yyyy"/>
    <numFmt numFmtId="165" formatCode="#,##0[$€]"/>
  </numFmts>
  <fonts count="4">
    <font>
      <sz val="10"/>
      <color rgb="000000"/>
      <name val="Arial"/>
    </font>
    <font>
      <sz val="10"/>
      <color rgb="FFFFFF"/>
      <name val="Arial"/>
    </font>
    <font>
      <sz val="30"/>
      <color rgb="FFFFFF"/>
      <name val="Arial"/>
    </font>
    <font>
      <sz val="10"/>
      <color rgb="351C75"/>
      <name val="Arial"/>
    </font>
  </fonts>
  <fills count="4">
    <fill>
      <patternFill patternType="none"/>
    </fill>
    <fill>
      <patternFill patternType="gray125"/>
    </fill>
    <fill>
      <patternFill patternType="solid">
        <fgColor rgb="351C75"/>
        <bgColor indexed="64"/>
      </patternFill>
    </fill>
    <fill>
      <patternFill patternType="solid">
        <fgColor rgb="FFFFFF"/>
        <bgColor indexed="64"/>
      </patternFill>
    </fill>
  </fills>
  <borders count="1">
    <border>
      <left>
        </left>
      <right>
        </right>
      <top>
        </top>
      <bottom>
        </bottom>
      <diagonal>
        </diagonal>
    </border>
  </borders>
  <cellXfs count="14">
    <xf numFmtId="0" fillId="0" fontId="0" borderId="0"/>
    <xf numFmtId="0" fillId="2" fontId="1" borderId="0" applyAlignment="1">
      <alignment vertical="center" horizontal="center"/>
    </xf>
    <xf numFmtId="0" fillId="2" fontId="1" borderId="0" applyAlignment="1">
      <alignment vertical="center" horizontal="center" wrapText="1"/>
    </xf>
    <xf numFmtId="0" fillId="2" fontId="2" borderId="0" applyAlignment="1">
      <alignment vertical="center" wrapText="1"/>
    </xf>
    <xf numFmtId="0" fillId="0" fontId="1" borderId="0"/>
    <xf numFmtId="0" fillId="0" fontId="3" borderId="0"/>
    <xf numFmtId="0" fillId="0" fontId="3" borderId="0" applyAlignment="1">
      <alignment vertical="center" horizontal="center" wrapText="1"/>
    </xf>
    <xf numFmtId="0" fillId="0" fontId="3" borderId="0" applyAlignment="1">
      <alignment vertical="center" horizontal="center"/>
    </xf>
    <xf numFmtId="0" fillId="3" fontId="3" borderId="0" applyAlignment="1">
      <alignment vertical="center" horizontal="center" wrapText="1"/>
    </xf>
    <xf numFmtId="49" fillId="0" fontId="3" borderId="0" applyAlignment="1">
      <alignment vertical="center" horizontal="center" wrapText="1"/>
    </xf>
    <xf numFmtId="0" fillId="0" fontId="3" borderId="0" applyAlignment="1">
      <alignment wrapText="1"/>
    </xf>
    <xf numFmtId="0" fillId="0" fontId="3" borderId="0" applyAlignment="1">
      <alignment vertical="center" wrapText="1"/>
    </xf>
    <xf numFmtId="164" fillId="0" fontId="3" borderId="0" applyAlignment="1">
      <alignment vertical="center" horizontal="center" wrapText="1"/>
    </xf>
    <xf numFmtId="165" fillId="0" fontId="3" borderId="0" applyAlignment="1">
      <alignment vertical="center" horizontal="center" wrapText="1"/>
    </xf>
  </cellXfs>
  <dxfs count="2">
    <dxf>
      <fill>
        <patternFill>
          <bgColor rgb="B6D7A8"/>
        </patternFill>
      </fill>
    </dxf>
    <dxf>
      <fill>
        <patternFill>
          <bgColor rgb="D9EAD3"/>
        </patternFill>
      </fill>
    </dxf>
  </dxfs>
</styleSheet>
</file>

<file path=xl/_rels/workbook.xml.rels><Relationships xmlns="http://schemas.openxmlformats.org/package/2006/relationships">
        
        <Relationship Id="rId1" Target="worksheets/sheet0.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metadata.xml" Type="http://schemas.openxmlformats.org/officeDocument/2006/relationships/sheetMetadata"/>
      
      </Relationships>
</file>

<file path=xl/tables/table1.xml><?xml version="1.0" encoding="utf-8"?>
<table xmlns="http://schemas.openxmlformats.org/spreadsheetml/2006/main" xmlns:xr="http://schemas.microsoft.com/office/spreadsheetml/2014/revision" xmlns:xr3="http://schemas.microsoft.com/office/spreadsheetml/2016/revision3" xmlns:mc="http://schemas.openxmlformats.org/markup-compatibility/2006" id="1" name="Table1" displayName="Table1" ref="A3:V102" headerRowCount="1" totalsRowCount="0">
  <autoFilter ref="A3:V102">
  </autoFilter>
  <tableColumns count="22">
    <tableColumn id="1" name="Fonds"/>
    <tableColumn id="2" name="Typologie"/>
    <tableColumn id="3" name="Entité"/>
    <tableColumn id="4" name="Contact"/>
    <tableColumn id="5" name="Contact Levée"/>
    <tableColumn id="6" name="Commentaire"/>
    <tableColumn id="7" name="Commentaire2"/>
    <tableColumn id="8" name="Commentaire3"/>
    <tableColumn id="9" name="Commentaire4"/>
    <tableColumn id="10" name="Activités"/>
    <tableColumn id="11" name="Étape"/>
    <tableColumn id="12" name="Intérêt"/>
    <tableColumn id="13" name="Date de dernière activité"/>
    <tableColumn id="14" name="Dernière activité"/>
    <tableColumn id="15" name="Date de prochaine activité"/>
    <tableColumn id="16" name="Prochaine activité"/>
    <tableColumn id="17" name="Revenu attendu"/>
    <tableColumn id="18" name="Ticket"/>
    <tableColumn id="19" name="% de Maturation"/>
    <tableColumn id="20" name="Matu."/>
    <tableColumn id="21" name="Tri"/>
    <tableColumn id="22" name="compteur"/>
  </tableColumns>
  <tableStyleInfo name="TableStyleLight9" showFirstColumn="0" showLastColumn="0" showRowStripes="1" showColumnStripes="0"/>
</table>
</file>

<file path=xl/worksheets/_rels/sheet0.xml.rels><Relationships xmlns="http://schemas.openxmlformats.org/package/2006/relationships">
        
        <Relationship Id="rId1" Target="../tables/table1.xml" Type="http://schemas.openxmlformats.org/officeDocument/2006/relationships/table"/>
      
      </Relationships>
</file>

<file path=xl/worksheets/sheet0.xml><?xml version="1.0" encoding="utf-8"?>
<worksheet xmlns="http://schemas.openxmlformats.org/spreadsheetml/2006/main" xmlns:r="http://schemas.openxmlformats.org/officeDocument/2006/relationships">
  <sheetViews>
    <sheetView showGridLines="1" workbookViewId="0">
      <pane ySplit="3" topLeftCell="A4" activePane="bottomLeft" state="frozen"/>
      <selection pane="bottomLeft"/>
    </sheetView>
  </sheetViews>
  <sheetFormatPr defaultRowHeight="17.25" defaultColWidth="13.73"/>
  <cols>
    <col min="1" max="1" width="27.89" customWidth="1" hidden="0"/>
    <col min="2" max="2" width="25.74" customWidth="1" hidden="0"/>
    <col min="3" max="3" width="39.47" customWidth="1" hidden="0"/>
    <col min="4" max="4" width="26.46" customWidth="1" hidden="0"/>
    <col min="5" max="5" width="17.16" customWidth="1" hidden="0"/>
    <col min="6" max="6" width="52.34" customWidth="1" hidden="1"/>
    <col min="7" max="7" width="52.34" customWidth="1" hidden="1"/>
    <col min="8" max="8" width="52.34" customWidth="1" hidden="1"/>
    <col min="9" max="9" width="52.34" customWidth="1" hidden="0"/>
    <col min="10" max="10" width="68.07" customWidth="1" hidden="1"/>
    <col min="11" max="11" width="25.31" customWidth="1" hidden="1"/>
    <col min="12" max="12" width="10.87" customWidth="1" hidden="0"/>
    <col min="13" max="13" width="25.31" customWidth="1" hidden="1"/>
    <col min="14" max="14" width="13.44" customWidth="1" hidden="0"/>
    <col min="15" max="15" width="25.31" customWidth="1" hidden="1"/>
    <col min="16" max="16" width="14.44" customWidth="1" hidden="0"/>
    <col min="17" max="17" width="15.16" customWidth="1" hidden="1"/>
    <col min="18" max="18" width="9.44" customWidth="1" hidden="0"/>
    <col min="19" max="19" width="20.02" customWidth="1" hidden="1"/>
    <col min="20" max="20" width="10.87" customWidth="1" hidden="0"/>
    <col min="21" max="21" width="11.44" customWidth="1" hidden="0"/>
    <col min="22" max="22" width="13.73" customWidth="1" hidden="1"/>
    <col min="23" max="23" width="13.73" customWidth="1" hidden="0"/>
    <col min="24" max="24" width="13.73" customWidth="1" hidden="0"/>
    <col min="25" max="25" width="13.73" customWidth="1" hidden="0"/>
    <col min="26" max="26" width="13.73" customWidth="1" hidden="0"/>
    <col min="27" max="27" width="13.73" customWidth="1" hidden="0"/>
    <col min="28" max="28" width="13.73" customWidth="1" hidden="0"/>
    <col min="29" max="29" width="13.73" customWidth="1" hidden="0"/>
    <col min="30" max="30" width="13.73" customWidth="1" hidden="0"/>
    <col min="31" max="31" width="13.73" customWidth="1" hidden="0"/>
    <col min="32" max="32" width="13.73" customWidth="1" hidden="0"/>
    <col min="33" max="33" width="13.73" customWidth="1" hidden="0"/>
    <col min="34" max="34" width="13.73" customWidth="1" hidden="0"/>
    <col min="35" max="35" width="13.73" customWidth="1" hidden="0"/>
    <col min="36" max="36" width="13.73" customWidth="1" hidden="0"/>
  </cols>
  <sheetData>
    <row r="1" ht="31.5" customHeight="1">
      <c r="A1" s="1">
</c>
      <c r="B1" s="1">
</c>
      <c r="C1" s="1">
</c>
      <c r="D1" s="2">
</c>
      <c r="E1" s="1">
</c>
      <c r="F1" s="1">
</c>
      <c r="G1" s="2">
</c>
      <c r="H1" s="1">
</c>
      <c r="I1" s="3" t="s">
        <v>0</v>
      </c>
      <c r="J1" s="1">
</c>
      <c r="K1" s="1">
</c>
      <c r="L1" s="1">
</c>
      <c r="M1" s="1">
</c>
      <c r="N1" s="3">
</c>
      <c r="O1" s="1">
</c>
      <c r="P1" s="2">
</c>
      <c r="Q1" s="1">
</c>
      <c r="R1" s="1">
</c>
      <c r="S1" s="1">
</c>
      <c r="T1" s="1">
</c>
      <c r="U1" s="2">
</c>
      <c r="V1" s="4">
</c>
      <c r="W1" s="4">
</c>
      <c r="X1" s="4">
</c>
      <c r="Y1" s="4">
</c>
      <c r="Z1" s="4">
</c>
      <c r="AA1" s="4">
</c>
      <c r="AB1" s="4">
</c>
      <c r="AC1" s="4">
</c>
      <c r="AD1" s="4">
</c>
      <c r="AE1" s="4">
</c>
      <c r="AF1" s="4">
</c>
      <c r="AG1" s="4">
</c>
      <c r="AH1" s="4">
</c>
      <c r="AI1" s="4">
</c>
      <c r="AJ1" s="4">
</c>
    </row>
    <row r="2" ht="31.5" customHeight="1">
      <c r="A2" s="5">
</c>
      <c r="B2" s="6">
</c>
      <c r="C2" s="7" cm="1" t="n">
        <f t="array" ref="C2">SUBTOTAL(9,V4:V102)</f>
        <v>42</v>
      </c>
      <c r="D2" s="5">
</c>
      <c r="E2" s="5">
</c>
      <c r="F2" s="5">
</c>
      <c r="G2" s="5">
</c>
      <c r="H2" s="5">
</c>
      <c r="I2" s="5">
</c>
      <c r="J2" s="5">
</c>
      <c r="K2" s="5">
</c>
      <c r="L2" s="5">
</c>
      <c r="M2" s="5">
</c>
      <c r="N2" s="5">
</c>
      <c r="O2" s="5">
</c>
      <c r="P2" s="5">
</c>
      <c r="Q2" s="8" cm="1" t="n">
        <f t="array" ref="Q2">SUBTOTAL(9,Q4:Q202)</f>
        <v>16000000</v>
      </c>
      <c r="R2" s="8" cm="1" t="str">
        <f t="array" ref="R2">ROUND(Q2/1000000,3)&amp;" M€"</f>
        <v>16 M€</v>
      </c>
      <c r="S2" s="5">
</c>
      <c r="T2" s="5">
</c>
      <c r="U2" s="5">
</c>
      <c r="V2" s="5">
</c>
      <c r="W2" s="5">
</c>
      <c r="X2" s="5">
</c>
      <c r="Y2" s="5">
</c>
      <c r="Z2" s="5">
</c>
      <c r="AA2" s="5">
</c>
      <c r="AB2" s="5">
</c>
      <c r="AC2" s="5">
</c>
      <c r="AD2" s="5">
</c>
      <c r="AE2" s="5">
</c>
      <c r="AF2" s="5">
</c>
      <c r="AG2" s="5">
</c>
      <c r="AH2" s="5">
</c>
      <c r="AI2" s="5">
</c>
      <c r="AJ2" s="5">
</c>
    </row>
    <row r="3" ht="31.5" customHeight="1">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4" t="s">
        <v>22</v>
      </c>
      <c r="W3" s="4">
</c>
      <c r="X3" s="4">
</c>
      <c r="Y3" s="4">
</c>
      <c r="Z3" s="4">
</c>
      <c r="AA3" s="4">
</c>
      <c r="AB3" s="4">
</c>
      <c r="AC3" s="4">
</c>
      <c r="AD3" s="4">
</c>
      <c r="AE3" s="4">
</c>
      <c r="AF3" s="4">
</c>
      <c r="AG3" s="4">
</c>
      <c r="AH3" s="4">
</c>
      <c r="AI3" s="4">
</c>
      <c r="AJ3" s="4">
</c>
    </row>
    <row r="4" ht="81" customHeight="1">
      <c r="A4" s="6" t="s">
        <v>23</v>
      </c>
      <c r="B4" s="6" t="s">
        <v>24</v>
      </c>
      <c r="C4" s="9" t="s">
        <v>25</v>
      </c>
      <c r="D4" s="9" t="s">
        <v>26</v>
      </c>
      <c r="E4" s="6" t="s">
        <v>27</v>
      </c>
      <c r="F4" s="5" t="s">
        <v>28</v>
      </c>
      <c r="G4" s="10" cm="1" t="str">
        <f t="array" ref="G4">IF(F4="","",SUBSTITUTE(SUBSTITUTE(SUBSTITUTE(SUBSTITUTE(F4,"&lt;li&gt;",CHAR(10)),"&lt;/li&gt;",""),"&lt;br&gt;",CHAR(10)),"&lt;strong&gt;",""))</f>
        <v>&lt;p&gt;LOI signée ARKEA AM &amp;lt;&amp;gt; AUDACIA le 30/10/2026. RDV physique terminé, action clôturée. Question prorogation à se poser en déc 2026. Nouvelle piste créée pour équipe Ventes. Pas de retour prospect sur fonds, prochaines étapes non précisées dans les échanges.&lt;/p&gt;</v>
      </c>
      <c r="H4" s="10" cm="1" t="str">
        <f t="array" ref="H4">IF(G4="","",SUBSTITUTE(SUBSTITUTE(SUBSTITUTE(SUBSTITUTE(SUBSTITUTE(G4,"&lt;p&gt;",""),"&lt;/p&gt;",""),"&lt;ul&gt;",""),"&lt;/ul&gt;",""),"&lt;/strong&gt;",""))</f>
        <v>LOI signée ARKEA AM &amp;lt;&amp;gt; AUDACIA le 30/10/2026. RDV physique terminé, action clôturée. Question prorogation à se poser en déc 2026. Nouvelle piste créée pour équipe Ventes. Pas de retour prospect sur fonds, prochaines étapes non précisées dans les échanges.</v>
      </c>
      <c r="I4" s="11" cm="1" t="str">
        <f t="array" ref="I4">IF(C4="","",IF(OR(H4="",H4=0,H4=FALSE),"-",H4))</f>
        <v>LOI signée ARKEA AM &amp;lt;&amp;gt; AUDACIA le 30/10/2026. RDV physique terminé, action clôturée. Question prorogation à se poser en déc 2026. Nouvelle piste créée pour équipe Ventes. Pas de retour prospect sur fonds, prochaines étapes non précisées dans les échanges.</v>
      </c>
      <c r="J4" s="5">
</c>
      <c r="K4" s="6" t="s">
        <v>29</v>
      </c>
      <c r="L4" s="6" cm="1" t="str">
        <f t="array" ref="L4">IF(C4="","",IF(K4="Mort / Plus rien à faire","KO","OK"))</f>
        <v>KO</v>
      </c>
      <c r="M4" s="12">
        <v>46155.46878472222</v>
      </c>
      <c r="N4" s="12" cm="1" t="n">
        <f t="array" ref="N4">IF(OR(C4="",M4="",M4=0),"",M4)</f>
        <v>46155.46878472222</v>
      </c>
      <c r="O4" s="12">
        <v>46391.041666666664</v>
      </c>
      <c r="P4" s="12" cm="1" t="n">
        <f t="array" ref="P4">IF(C4="","",IF(OR(O4="",O4=0),"-",O4))</f>
        <v>46391.041666666664</v>
      </c>
      <c r="Q4" s="13">
        <v>0</v>
      </c>
      <c r="R4" s="9" cm="1" t="str">
        <f t="array" ref="R4">IF(C4="","",ROUND(Q4/1000000,3)&amp;" M€")</f>
        <v>0 M€</v>
      </c>
      <c r="S4" s="9" t="s">
        <v>30</v>
      </c>
      <c r="T4" s="9" cm="1" t="str">
        <f t="array" ref="T4">IF(C4="","",SUBSTITUTE(S4,"","")&amp;"%")</f>
        <v>58.9%</v>
      </c>
      <c r="U4" s="11" cm="1" t="str">
        <f t="array" ref="U4">IF(($N4="")*($P4=""),"",IF(($N4&lt;&gt;"")*($N4&gt;TODAY()-9)*($N4&lt;TODAY()+1)*($P4&lt;&gt;"")*($P4&gt;=TODAY())*($P4&lt;=TODAY()+13),"Semaine passée &amp; à venir",IF(($N4&lt;&gt;"")*($N4&gt;TODAY()-9)*($N4&lt;TODAY()+1),"Semaine passée",IF(($P4&lt;&gt;"")*($P4&gt;=TODAY())*($P4&lt;=TODAY()+13),"À venir","Autre"))))</f>
        <v>Autre</v>
      </c>
      <c r="V4" s="5" cm="1" t="n">
        <f t="array" ref="V4">IF(C4&lt;&gt;"",1,0)</f>
        <v>1</v>
      </c>
      <c r="W4" s="5">
</c>
      <c r="X4" s="5">
</c>
      <c r="Y4" s="5">
</c>
      <c r="Z4" s="5">
</c>
      <c r="AA4" s="5">
</c>
      <c r="AB4" s="5">
</c>
      <c r="AC4" s="5">
</c>
      <c r="AD4" s="5">
</c>
      <c r="AE4" s="5">
</c>
      <c r="AF4" s="5">
</c>
      <c r="AG4" s="5">
</c>
      <c r="AH4" s="5">
</c>
      <c r="AI4" s="5">
</c>
      <c r="AJ4" s="5">
</c>
    </row>
    <row r="5" ht="81" customHeight="1">
      <c r="A5" s="6" t="s">
        <v>23</v>
      </c>
      <c r="B5" s="6" t="s">
        <v>31</v>
      </c>
      <c r="C5" s="9" t="s">
        <v>32</v>
      </c>
      <c r="D5" s="9" t="s">
        <v>33</v>
      </c>
      <c r="E5" s="6" t="s">
        <v>34</v>
      </c>
      <c r="F5" s="5" t="s">
        <v>35</v>
      </c>
      <c r="G5" s="10" cm="1" t="str">
        <f t="array" ref="G5">IF(F5="","",SUBSTITUTE(SUBSTITUTE(SUBSTITUTE(SUBSTITUTE(F5,"&lt;li&gt;",CHAR(10)),"&lt;/li&gt;",""),"&lt;br&gt;",CHAR(10)),"&lt;strong&gt;",""))</f>
        <v>&lt;p&gt;27/04 proposition call, prospect intéressé, souhaite échanger après avoir étudié les infos reçues, mentionne un projet d'investissement dans une éolienne via family office. 04/05 relance effectuée pour organiser le call. Pas d'autres actions ni retours prospect à ce stade. Prochaine étape&amp;nbsp;: fixer call.&lt;/p&gt;</v>
      </c>
      <c r="H5" s="10" cm="1" t="str">
        <f t="array" ref="H5">IF(G5="","",SUBSTITUTE(SUBSTITUTE(SUBSTITUTE(SUBSTITUTE(SUBSTITUTE(G5,"&lt;p&gt;",""),"&lt;/p&gt;",""),"&lt;ul&gt;",""),"&lt;/ul&gt;",""),"&lt;/strong&gt;",""))</f>
        <v>27/04 proposition call, prospect intéressé, souhaite échanger après avoir étudié les infos reçues, mentionne un projet d'investissement dans une éolienne via family office. 04/05 relance effectuée pour organiser le call. Pas d'autres actions ni retours prospect à ce stade. Prochaine étape&amp;nbsp;: fixer call.</v>
      </c>
      <c r="I5" s="11" cm="1" t="str">
        <f t="array" ref="I5">IF(C5="","",IF(OR(H5="",H5=0,H5=FALSE),"-",H5))</f>
        <v>27/04 proposition call, prospect intéressé, souhaite échanger après avoir étudié les infos reçues, mentionne un projet d'investissement dans une éolienne via family office. 04/05 relance effectuée pour organiser le call. Pas d'autres actions ni retours prospect à ce stade. Prochaine étape&amp;nbsp;: fixer call.</v>
      </c>
      <c r="J5" s="5" t="s">
        <v>36</v>
      </c>
      <c r="K5" s="6" t="s">
        <v>37</v>
      </c>
      <c r="L5" s="6" cm="1" t="str">
        <f t="array" ref="L5">IF(C5="","",IF(K5="Mort / Plus rien à faire","KO","OK"))</f>
        <v>OK</v>
      </c>
      <c r="M5" s="12">
        <v>46146.52394675926</v>
      </c>
      <c r="N5" s="12" cm="1" t="n">
        <f t="array" ref="N5">IF(OR(C5="",M5="",M5=0),"",M5)</f>
        <v>46146.52394675926</v>
      </c>
      <c r="O5" s="12">
</c>
      <c r="P5" s="12" cm="1" t="str">
        <f t="array" ref="P5">IF(C5="","",IF(OR(O5="",O5=0),"-",O5))</f>
        <v>-</v>
      </c>
      <c r="Q5" s="13">
        <v>0</v>
      </c>
      <c r="R5" s="9" cm="1" t="str">
        <f t="array" ref="R5">IF(C5="","",ROUND(Q5/1000000,3)&amp;" M€")</f>
        <v>0 M€</v>
      </c>
      <c r="S5" s="9" t="s">
        <v>38</v>
      </c>
      <c r="T5" s="9" cm="1" t="str">
        <f t="array" ref="T5">IF(C5="","",SUBSTITUTE(S5,"","")&amp;"%")</f>
        <v>30%</v>
      </c>
      <c r="U5" s="11" cm="1" t="str">
        <f t="array" ref="U5">IF(($N5="")*($P5=""),"",IF(($N5&lt;&gt;"")*($N5&gt;TODAY()-9)*($N5&lt;TODAY()+1)*($P5&lt;&gt;"")*($P5&gt;=TODAY())*($P5&lt;=TODAY()+13),"Semaine passée &amp; à venir",IF(($N5&lt;&gt;"")*($N5&gt;TODAY()-9)*($N5&lt;TODAY()+1),"Semaine passée",IF(($P5&lt;&gt;"")*($P5&gt;=TODAY())*($P5&lt;=TODAY()+13),"À venir","Autre"))))</f>
        <v>Autre</v>
      </c>
      <c r="V5" s="5" cm="1" t="n">
        <f t="array" ref="V5">IF(C5&lt;&gt;"",1,0)</f>
        <v>1</v>
      </c>
      <c r="W5" s="5">
</c>
      <c r="X5" s="11">
</c>
      <c r="Y5" s="5">
</c>
      <c r="Z5" s="5">
</c>
      <c r="AA5" s="5">
</c>
      <c r="AB5" s="5">
</c>
      <c r="AC5" s="5">
</c>
      <c r="AD5" s="5">
</c>
      <c r="AE5" s="5">
</c>
      <c r="AF5" s="5">
</c>
      <c r="AG5" s="5">
</c>
      <c r="AH5" s="5">
</c>
      <c r="AI5" s="5">
</c>
      <c r="AJ5" s="5">
</c>
    </row>
    <row r="6" ht="81" customHeight="1">
      <c r="A6" s="6" t="s">
        <v>23</v>
      </c>
      <c r="B6" s="6" t="s">
        <v>39</v>
      </c>
      <c r="C6" s="9" t="s">
        <v>40</v>
      </c>
      <c r="D6" s="9" t="s">
        <v>41</v>
      </c>
      <c r="E6" s="6" t="s">
        <v>27</v>
      </c>
      <c r="F6" s="5" t="s">
        <v>42</v>
      </c>
      <c r="G6" s="10" cm="1" t="str">
        <f t="array" ref="G6">IF(F6="","",SUBSTITUTE(SUBSTITUTE(SUBSTITUTE(SUBSTITUTE(F6,"&lt;li&gt;",CHAR(10)),"&lt;/li&gt;",""),"&lt;br&gt;",CHAR(10)),"&lt;strong&gt;",""))</f>
        <v>&lt;p&gt;Multiples échanges avec CE Normandie, Otrera, Blue Capsule, focus fonds de fonds et nucléaire normand. Intérêt marqué pour Straton/Exergon. RDV physique réalisé, attente retour CEN (Christine Dropsy). Ok de principe pour RDV mandataire sous un mois. Décision fonds sous un mois. LCL/CA concurrents.&lt;/p&gt;</v>
      </c>
      <c r="H6" s="10" cm="1" t="str">
        <f t="array" ref="H6">IF(G6="","",SUBSTITUTE(SUBSTITUTE(SUBSTITUTE(SUBSTITUTE(SUBSTITUTE(G6,"&lt;p&gt;",""),"&lt;/p&gt;",""),"&lt;ul&gt;",""),"&lt;/ul&gt;",""),"&lt;/strong&gt;",""))</f>
        <v>Multiples échanges avec CE Normandie, Otrera, Blue Capsule, focus fonds de fonds et nucléaire normand. Intérêt marqué pour Straton/Exergon. RDV physique réalisé, attente retour CEN (Christine Dropsy). Ok de principe pour RDV mandataire sous un mois. Décision fonds sous un mois. LCL/CA concurrents.</v>
      </c>
      <c r="I6" s="11" cm="1" t="str">
        <f t="array" ref="I6">IF(C6="","",IF(OR(H6="",H6=0,H6=FALSE),"-",H6))</f>
        <v>Multiples échanges avec CE Normandie, Otrera, Blue Capsule, focus fonds de fonds et nucléaire normand. Intérêt marqué pour Straton/Exergon. RDV physique réalisé, attente retour CEN (Christine Dropsy). Ok de principe pour RDV mandataire sous un mois. Décision fonds sous un mois. LCL/CA concurrents.</v>
      </c>
      <c r="J6" s="5" t="s">
        <v>43</v>
      </c>
      <c r="K6" s="6" t="s">
        <v>37</v>
      </c>
      <c r="L6" s="6" cm="1" t="str">
        <f t="array" ref="L6">IF(C6="","",IF(K6="Mort / Plus rien à faire","KO","OK"))</f>
        <v>OK</v>
      </c>
      <c r="M6" s="12">
        <v>46160.687951388885</v>
      </c>
      <c r="N6" s="12" cm="1" t="n">
        <f t="array" ref="N6">IF(OR(C6="",M6="",M6=0),"",M6)</f>
        <v>46160.687951388885</v>
      </c>
      <c r="O6" s="12">
</c>
      <c r="P6" s="12" cm="1" t="str">
        <f t="array" ref="P6">IF(C6="","",IF(OR(O6="",O6=0),"-",O6))</f>
        <v>-</v>
      </c>
      <c r="Q6" s="13">
        <v>1000000</v>
      </c>
      <c r="R6" s="9" cm="1" t="str">
        <f t="array" ref="R6">IF(C6="","",ROUND(Q6/1000000,3)&amp;" M€")</f>
        <v>1 M€</v>
      </c>
      <c r="S6" s="9" t="s">
        <v>38</v>
      </c>
      <c r="T6" s="9" cm="1" t="str">
        <f t="array" ref="T6">IF(C6="","",SUBSTITUTE(S6,"","")&amp;"%")</f>
        <v>30%</v>
      </c>
      <c r="U6" s="11" cm="1" t="str">
        <f t="array" ref="U6">IF(($N6="")*($P6=""),"",IF(($N6&lt;&gt;"")*($N6&gt;TODAY()-9)*($N6&lt;TODAY()+1)*($P6&lt;&gt;"")*($P6&gt;=TODAY())*($P6&lt;=TODAY()+13),"Semaine passée &amp; à venir",IF(($N6&lt;&gt;"")*($N6&gt;TODAY()-9)*($N6&lt;TODAY()+1),"Semaine passée",IF(($P6&lt;&gt;"")*($P6&gt;=TODAY())*($P6&lt;=TODAY()+13),"À venir","Autre"))))</f>
        <v>Autre</v>
      </c>
      <c r="V6" s="5" cm="1" t="n">
        <f t="array" ref="V6">IF(C6&lt;&gt;"",1,0)</f>
        <v>1</v>
      </c>
      <c r="W6" s="5">
</c>
      <c r="X6" s="5">
</c>
      <c r="Y6" s="5">
</c>
      <c r="Z6" s="5">
</c>
      <c r="AA6" s="5">
</c>
      <c r="AB6" s="5">
</c>
      <c r="AC6" s="5">
</c>
      <c r="AD6" s="5">
</c>
      <c r="AE6" s="5">
</c>
      <c r="AF6" s="5">
</c>
      <c r="AG6" s="5">
</c>
      <c r="AH6" s="5">
</c>
      <c r="AI6" s="5">
</c>
      <c r="AJ6" s="5">
</c>
    </row>
    <row r="7" ht="81" customHeight="1">
      <c r="A7" s="6" t="s">
        <v>23</v>
      </c>
      <c r="B7" s="6" t="s">
        <v>44</v>
      </c>
      <c r="C7" s="9" t="s">
        <v>45</v>
      </c>
      <c r="D7" s="9" t="s">
        <v>46</v>
      </c>
      <c r="E7" s="6" t="s">
        <v>27</v>
      </c>
      <c r="F7" s="5" t="s">
        <v>47</v>
      </c>
      <c r="G7" s="10" cm="1" t="str">
        <f t="array" ref="G7">IF(F7="","",SUBSTITUTE(SUBSTITUTE(SUBSTITUTE(SUBSTITUTE(F7,"&lt;li&gt;",CHAR(10)),"&lt;/li&gt;",""),"&lt;br&gt;",CHAR(10)),"&lt;strong&gt;",""))</f>
        <v>&lt;p&gt;Nouvelle piste créée pour équipe Ventes, origine : communication LinkedIn Anne-Laure de Chammard (post du 23/04/2026). Aucun échange, action ou retour prospect enregistré à ce jour. Pas d'activité planifiée ni de feedback sur fonds présentés. Prochaines étapes non définies.&lt;/p&gt;</v>
      </c>
      <c r="H7" s="10" cm="1" t="str">
        <f t="array" ref="H7">IF(G7="","",SUBSTITUTE(SUBSTITUTE(SUBSTITUTE(SUBSTITUTE(SUBSTITUTE(G7,"&lt;p&gt;",""),"&lt;/p&gt;",""),"&lt;ul&gt;",""),"&lt;/ul&gt;",""),"&lt;/strong&gt;",""))</f>
        <v>Nouvelle piste créée pour équipe Ventes, origine : communication LinkedIn Anne-Laure de Chammard (post du 23/04/2026). Aucun échange, action ou retour prospect enregistré à ce jour. Pas d'activité planifiée ni de feedback sur fonds présentés. Prochaines étapes non définies.</v>
      </c>
      <c r="I7" s="11" cm="1" t="str">
        <f t="array" ref="I7">IF(C7="","",IF(OR(H7="",H7=0,H7=FALSE),"-",H7))</f>
        <v>Nouvelle piste créée pour équipe Ventes, origine : communication LinkedIn Anne-Laure de Chammard (post du 23/04/2026). Aucun échange, action ou retour prospect enregistré à ce jour. Pas d'activité planifiée ni de feedback sur fonds présentés. Prochaines étapes non définies.</v>
      </c>
      <c r="J7" s="5">
</c>
      <c r="K7" s="6" t="s">
        <v>37</v>
      </c>
      <c r="L7" s="6" cm="1" t="str">
        <f t="array" ref="L7">IF(C7="","",IF(K7="Mort / Plus rien à faire","KO","OK"))</f>
        <v>OK</v>
      </c>
      <c r="M7" s="12">
        <v>46135.80616898148</v>
      </c>
      <c r="N7" s="12" cm="1" t="n">
        <f t="array" ref="N7">IF(OR(C7="",M7="",M7=0),"",M7)</f>
        <v>46135.80616898148</v>
      </c>
      <c r="O7" s="12">
</c>
      <c r="P7" s="12" cm="1" t="str">
        <f t="array" ref="P7">IF(C7="","",IF(OR(O7="",O7=0),"-",O7))</f>
        <v>-</v>
      </c>
      <c r="Q7" s="13">
        <v>0</v>
      </c>
      <c r="R7" s="9" cm="1" t="str">
        <f t="array" ref="R7">IF(C7="","",ROUND(Q7/1000000,3)&amp;" M€")</f>
        <v>0 M€</v>
      </c>
      <c r="S7" s="9" t="s">
        <v>48</v>
      </c>
      <c r="T7" s="9" cm="1" t="str">
        <f t="array" ref="T7">IF(C7="","",SUBSTITUTE(S7,"","")&amp;"%")</f>
        <v>20%</v>
      </c>
      <c r="U7" s="11" cm="1" t="str">
        <f t="array" ref="U7">IF(($N7="")*($P7=""),"",IF(($N7&lt;&gt;"")*($N7&gt;TODAY()-9)*($N7&lt;TODAY()+1)*($P7&lt;&gt;"")*($P7&gt;=TODAY())*($P7&lt;=TODAY()+13),"Semaine passée &amp; à venir",IF(($N7&lt;&gt;"")*($N7&gt;TODAY()-9)*($N7&lt;TODAY()+1),"Semaine passée",IF(($P7&lt;&gt;"")*($P7&gt;=TODAY())*($P7&lt;=TODAY()+13),"À venir","Autre"))))</f>
        <v>Autre</v>
      </c>
      <c r="V7" s="5" cm="1" t="n">
        <f t="array" ref="V7">IF(C7&lt;&gt;"",1,0)</f>
        <v>1</v>
      </c>
      <c r="W7" s="5">
</c>
      <c r="X7" s="5">
</c>
      <c r="Y7" s="5">
</c>
      <c r="Z7" s="5">
</c>
      <c r="AA7" s="5">
</c>
      <c r="AB7" s="5">
</c>
      <c r="AC7" s="5">
</c>
      <c r="AD7" s="5">
</c>
      <c r="AE7" s="5">
</c>
      <c r="AF7" s="5">
</c>
      <c r="AG7" s="5">
</c>
      <c r="AH7" s="5">
</c>
      <c r="AI7" s="5">
</c>
      <c r="AJ7" s="5">
</c>
    </row>
    <row r="8" ht="81" customHeight="1">
      <c r="A8" s="6" t="s">
        <v>23</v>
      </c>
      <c r="B8" s="6" t="s">
        <v>49</v>
      </c>
      <c r="C8" s="9" t="s">
        <v>50</v>
      </c>
      <c r="D8" s="9" t="s">
        <v>51</v>
      </c>
      <c r="E8" s="6" t="s">
        <v>27</v>
      </c>
      <c r="F8" s="5" t="s">
        <v>52</v>
      </c>
      <c r="G8" s="10" cm="1" t="str">
        <f t="array" ref="G8">IF(F8="","",SUBSTITUTE(SUBSTITUTE(SUBSTITUTE(SUBSTITUTE(F8,"&lt;li&gt;",CHAR(10)),"&lt;/li&gt;",""),"&lt;br&gt;",CHAR(10)),"&lt;strong&gt;",""))</f>
        <v>&lt;p&gt;RDV 25/09/2025 avec Julien Carmona (DG ARKEA), Stéphanie Coulon Renouvel reprend le dossier (fonds de fonds), priorité au Spatial, fort intérêt territoire. Dernière action : préparation réunion stratégique (février STRATON&amp;lt;&amp;gt;SLPE EXPANSION). Prochaine étape : réunion prévue 14/01/2026.&lt;/p&gt;</v>
      </c>
      <c r="H8" s="10" cm="1" t="str">
        <f t="array" ref="H8">IF(G8="","",SUBSTITUTE(SUBSTITUTE(SUBSTITUTE(SUBSTITUTE(SUBSTITUTE(G8,"&lt;p&gt;",""),"&lt;/p&gt;",""),"&lt;ul&gt;",""),"&lt;/ul&gt;",""),"&lt;/strong&gt;",""))</f>
        <v>RDV 25/09/2025 avec Julien Carmona (DG ARKEA), Stéphanie Coulon Renouvel reprend le dossier (fonds de fonds), priorité au Spatial, fort intérêt territoire. Dernière action : préparation réunion stratégique (février STRATON&amp;lt;&amp;gt;SLPE EXPANSION). Prochaine étape : réunion prévue 14/01/2026.</v>
      </c>
      <c r="I8" s="11" cm="1" t="str">
        <f t="array" ref="I8">IF(C8="","",IF(OR(H8="",H8=0,H8=FALSE),"-",H8))</f>
        <v>RDV 25/09/2025 avec Julien Carmona (DG ARKEA), Stéphanie Coulon Renouvel reprend le dossier (fonds de fonds), priorité au Spatial, fort intérêt territoire. Dernière action : préparation réunion stratégique (février STRATON&amp;lt;&amp;gt;SLPE EXPANSION). Prochaine étape : réunion prévue 14/01/2026.</v>
      </c>
      <c r="J8" s="5">
</c>
      <c r="K8" s="6" t="s">
        <v>37</v>
      </c>
      <c r="L8" s="6" cm="1" t="str">
        <f t="array" ref="L8">IF(C8="","",IF(K8="Mort / Plus rien à faire","KO","OK"))</f>
        <v>OK</v>
      </c>
      <c r="M8" s="12">
        <v>46064.441666666666</v>
      </c>
      <c r="N8" s="12" cm="1" t="n">
        <f t="array" ref="N8">IF(OR(C8="",M8="",M8=0),"",M8)</f>
        <v>46064.441666666666</v>
      </c>
      <c r="O8" s="12">
</c>
      <c r="P8" s="12" cm="1" t="str">
        <f t="array" ref="P8">IF(C8="","",IF(OR(O8="",O8=0),"-",O8))</f>
        <v>-</v>
      </c>
      <c r="Q8" s="13">
        <v>0</v>
      </c>
      <c r="R8" s="9" cm="1" t="str">
        <f t="array" ref="R8">IF(C8="","",ROUND(Q8/1000000,3)&amp;" M€")</f>
        <v>0 M€</v>
      </c>
      <c r="S8" s="9" t="s">
        <v>53</v>
      </c>
      <c r="T8" s="9" cm="1" t="str">
        <f t="array" ref="T8">IF(C8="","",SUBSTITUTE(S8,"","")&amp;"%")</f>
        <v>10%</v>
      </c>
      <c r="U8" s="11" cm="1" t="str">
        <f t="array" ref="U8">IF(($N8="")*($P8=""),"",IF(($N8&lt;&gt;"")*($N8&gt;TODAY()-9)*($N8&lt;TODAY()+1)*($P8&lt;&gt;"")*($P8&gt;=TODAY())*($P8&lt;=TODAY()+13),"Semaine passée &amp; à venir",IF(($N8&lt;&gt;"")*($N8&gt;TODAY()-9)*($N8&lt;TODAY()+1),"Semaine passée",IF(($P8&lt;&gt;"")*($P8&gt;=TODAY())*($P8&lt;=TODAY()+13),"À venir","Autre"))))</f>
        <v>Autre</v>
      </c>
      <c r="V8" s="5" cm="1" t="n">
        <f t="array" ref="V8">IF(C8&lt;&gt;"",1,0)</f>
        <v>1</v>
      </c>
      <c r="W8" s="5">
</c>
      <c r="X8" s="5">
</c>
      <c r="Y8" s="5">
</c>
      <c r="Z8" s="5">
</c>
      <c r="AA8" s="5">
</c>
      <c r="AB8" s="5">
</c>
      <c r="AC8" s="5">
</c>
      <c r="AD8" s="5">
</c>
      <c r="AE8" s="5">
</c>
      <c r="AF8" s="5">
</c>
      <c r="AG8" s="5">
</c>
      <c r="AH8" s="5">
</c>
      <c r="AI8" s="5">
</c>
      <c r="AJ8" s="5">
</c>
    </row>
    <row r="9" ht="81" customHeight="1">
      <c r="A9" s="6" t="s">
        <v>23</v>
      </c>
      <c r="B9" s="6" t="s">
        <v>49</v>
      </c>
      <c r="C9" s="9" t="s">
        <v>54</v>
      </c>
      <c r="D9" s="9" t="s">
        <v>55</v>
      </c>
      <c r="E9" s="6" t="s">
        <v>27</v>
      </c>
      <c r="F9" s="5" t="s">
        <v>56</v>
      </c>
      <c r="G9" s="10" cm="1" t="str">
        <f t="array" ref="G9">IF(F9="","",SUBSTITUTE(SUBSTITUTE(SUBSTITUTE(SUBSTITUTE(F9,"&lt;li&gt;",CHAR(10)),"&lt;/li&gt;",""),"&lt;br&gt;",CHAR(10)),"&lt;strong&gt;",""))</f>
        <v>&lt;p&gt;RDV physique 5/03/2026 : Straton pas inscrit comité investissement, rien avant fin mars. Ok pour 1M€ Straton, demande incentive closing tech. 3 axes : tech (TIBI), souveraineté (Straton), mino défense (LaTourCapital). Prio Straton/Calderion, Exergon évoqué fin 2026. Prochaine étape : lancer post dossier Straton.&lt;/p&gt;</v>
      </c>
      <c r="H9" s="10" cm="1" t="str">
        <f t="array" ref="H9">IF(G9="","",SUBSTITUTE(SUBSTITUTE(SUBSTITUTE(SUBSTITUTE(SUBSTITUTE(G9,"&lt;p&gt;",""),"&lt;/p&gt;",""),"&lt;ul&gt;",""),"&lt;/ul&gt;",""),"&lt;/strong&gt;",""))</f>
        <v>RDV physique 5/03/2026 : Straton pas inscrit comité investissement, rien avant fin mars. Ok pour 1M€ Straton, demande incentive closing tech. 3 axes : tech (TIBI), souveraineté (Straton), mino défense (LaTourCapital). Prio Straton/Calderion, Exergon évoqué fin 2026. Prochaine étape : lancer post dossier Straton.</v>
      </c>
      <c r="I9" s="11" cm="1" t="str">
        <f t="array" ref="I9">IF(C9="","",IF(OR(H9="",H9=0,H9=FALSE),"-",H9))</f>
        <v>RDV physique 5/03/2026 : Straton pas inscrit comité investissement, rien avant fin mars. Ok pour 1M€ Straton, demande incentive closing tech. 3 axes : tech (TIBI), souveraineté (Straton), mino défense (LaTourCapital). Prio Straton/Calderion, Exergon évoqué fin 2026. Prochaine étape : lancer post dossier Straton.</v>
      </c>
      <c r="J9" s="5">
</c>
      <c r="K9" s="6" t="s">
        <v>57</v>
      </c>
      <c r="L9" s="6" cm="1" t="str">
        <f t="array" ref="L9">IF(C9="","",IF(K9="Mort / Plus rien à faire","KO","OK"))</f>
        <v>OK</v>
      </c>
      <c r="M9" s="12">
        <v>46105.6216087963</v>
      </c>
      <c r="N9" s="12" cm="1" t="n">
        <f t="array" ref="N9">IF(OR(C9="",M9="",M9=0),"",M9)</f>
        <v>46105.6216087963</v>
      </c>
      <c r="O9" s="12">
</c>
      <c r="P9" s="12" cm="1" t="str">
        <f t="array" ref="P9">IF(C9="","",IF(OR(O9="",O9=0),"-",O9))</f>
        <v>-</v>
      </c>
      <c r="Q9" s="13">
        <v>0</v>
      </c>
      <c r="R9" s="9" cm="1" t="str">
        <f t="array" ref="R9">IF(C9="","",ROUND(Q9/1000000,3)&amp;" M€")</f>
        <v>0 M€</v>
      </c>
      <c r="S9" s="9" t="s">
        <v>53</v>
      </c>
      <c r="T9" s="9" cm="1" t="str">
        <f t="array" ref="T9">IF(C9="","",SUBSTITUTE(S9,"","")&amp;"%")</f>
        <v>10%</v>
      </c>
      <c r="U9" s="11" cm="1" t="str">
        <f t="array" ref="U9">IF(($N9="")*($P9=""),"",IF(($N9&lt;&gt;"")*($N9&gt;TODAY()-9)*($N9&lt;TODAY()+1)*($P9&lt;&gt;"")*($P9&gt;=TODAY())*($P9&lt;=TODAY()+13),"Semaine passée &amp; à venir",IF(($N9&lt;&gt;"")*($N9&gt;TODAY()-9)*($N9&lt;TODAY()+1),"Semaine passée",IF(($P9&lt;&gt;"")*($P9&gt;=TODAY())*($P9&lt;=TODAY()+13),"À venir","Autre"))))</f>
        <v>Autre</v>
      </c>
      <c r="V9" s="5" cm="1" t="n">
        <f t="array" ref="V9">IF(C9&lt;&gt;"",1,0)</f>
        <v>1</v>
      </c>
      <c r="W9" s="5">
</c>
      <c r="X9" s="5">
</c>
      <c r="Y9" s="5">
</c>
      <c r="Z9" s="5">
</c>
      <c r="AA9" s="5">
</c>
      <c r="AB9" s="5">
</c>
      <c r="AC9" s="5">
</c>
      <c r="AD9" s="5">
</c>
      <c r="AE9" s="5">
</c>
      <c r="AF9" s="5">
</c>
      <c r="AG9" s="5">
</c>
      <c r="AH9" s="5">
</c>
      <c r="AI9" s="5">
</c>
      <c r="AJ9" s="5">
</c>
    </row>
    <row r="10" ht="81" customHeight="1">
      <c r="A10" s="6" t="s">
        <v>23</v>
      </c>
      <c r="B10" s="6" t="s">
        <v>58</v>
      </c>
      <c r="C10" s="9" t="s">
        <v>59</v>
      </c>
      <c r="D10" s="9" t="s">
        <v>60</v>
      </c>
      <c r="E10" s="6" t="s">
        <v>34</v>
      </c>
      <c r="F10" s="5" t="s">
        <v>61</v>
      </c>
      <c r="G10" s="10" cm="1" t="str">
        <f t="array" ref="G10">IF(F10="","",SUBSTITUTE(SUBSTITUTE(SUBSTITUTE(SUBSTITUTE(F10,"&lt;li&gt;",CHAR(10)),"&lt;/li&gt;",""),"&lt;br&gt;",CHAR(10)),"&lt;strong&gt;",""))</f>
        <v>&lt;p&gt;07/05 : Nouvelle piste créée pour équipe Ventes. RDV en cours de programmation. 28/05 : Mail de relance envoyé. Pas d'autres activités ni retours du prospect à ce jour. Prochaine étape : attendre retour suite à la relance, aucun passage en comité mentionné.&lt;/p&gt;</v>
      </c>
      <c r="H10" s="10" cm="1" t="str">
        <f t="array" ref="H10">IF(G10="","",SUBSTITUTE(SUBSTITUTE(SUBSTITUTE(SUBSTITUTE(SUBSTITUTE(G10,"&lt;p&gt;",""),"&lt;/p&gt;",""),"&lt;ul&gt;",""),"&lt;/ul&gt;",""),"&lt;/strong&gt;",""))</f>
        <v>07/05 : Nouvelle piste créée pour équipe Ventes. RDV en cours de programmation. 28/05 : Mail de relance envoyé. Pas d'autres activités ni retours du prospect à ce jour. Prochaine étape : attendre retour suite à la relance, aucun passage en comité mentionné.</v>
      </c>
      <c r="I10" s="11" cm="1" t="str">
        <f t="array" ref="I10">IF(C10="","",IF(OR(H10="",H10=0,H10=FALSE),"-",H10))</f>
        <v>07/05 : Nouvelle piste créée pour équipe Ventes. RDV en cours de programmation. 28/05 : Mail de relance envoyé. Pas d'autres activités ni retours du prospect à ce jour. Prochaine étape : attendre retour suite à la relance, aucun passage en comité mentionné.</v>
      </c>
      <c r="J10" s="5">
</c>
      <c r="K10" s="6" t="s">
        <v>57</v>
      </c>
      <c r="L10" s="6" cm="1" t="str">
        <f t="array" ref="L10">IF(C10="","",IF(K10="Mort / Plus rien à faire","KO","OK"))</f>
        <v>OK</v>
      </c>
      <c r="M10" s="12">
        <v>46170.441145833334</v>
      </c>
      <c r="N10" s="12" cm="1" t="n">
        <f t="array" ref="N10">IF(OR(C10="",M10="",M10=0),"",M10)</f>
        <v>46170.441145833334</v>
      </c>
      <c r="O10" s="12">
</c>
      <c r="P10" s="12" cm="1" t="str">
        <f t="array" ref="P10">IF(C10="","",IF(OR(O10="",O10=0),"-",O10))</f>
        <v>-</v>
      </c>
      <c r="Q10" s="13">
        <v>0</v>
      </c>
      <c r="R10" s="9" cm="1" t="str">
        <f t="array" ref="R10">IF(C10="","",ROUND(Q10/1000000,3)&amp;" M€")</f>
        <v>0 M€</v>
      </c>
      <c r="S10" s="9" t="s">
        <v>53</v>
      </c>
      <c r="T10" s="9" cm="1" t="str">
        <f t="array" ref="T10">IF(C10="","",SUBSTITUTE(S10,"","")&amp;"%")</f>
        <v>10%</v>
      </c>
      <c r="U10" s="11" cm="1" t="str">
        <f t="array" ref="U10">IF(($N10="")*($P10=""),"",IF(($N10&lt;&gt;"")*($N10&gt;TODAY()-9)*($N10&lt;TODAY()+1)*($P10&lt;&gt;"")*($P10&gt;=TODAY())*($P10&lt;=TODAY()+13),"Semaine passée &amp; à venir",IF(($N10&lt;&gt;"")*($N10&gt;TODAY()-9)*($N10&lt;TODAY()+1),"Semaine passée",IF(($P10&lt;&gt;"")*($P10&gt;=TODAY())*($P10&lt;=TODAY()+13),"À venir","Autre"))))</f>
        <v>Semaine passée</v>
      </c>
      <c r="V10" s="5" cm="1" t="n">
        <f t="array" ref="V10">IF(C10&lt;&gt;"",1,0)</f>
        <v>1</v>
      </c>
      <c r="W10" s="5">
</c>
      <c r="X10" s="5">
</c>
      <c r="Y10" s="5">
</c>
      <c r="Z10" s="5">
</c>
      <c r="AA10" s="5">
</c>
      <c r="AB10" s="5">
</c>
      <c r="AC10" s="5">
</c>
      <c r="AD10" s="5">
</c>
      <c r="AE10" s="5">
</c>
      <c r="AF10" s="5">
</c>
      <c r="AG10" s="5">
</c>
      <c r="AH10" s="5">
</c>
      <c r="AI10" s="5">
</c>
      <c r="AJ10" s="5">
</c>
    </row>
    <row r="11" ht="81" customHeight="1">
      <c r="A11" s="6" t="s">
        <v>23</v>
      </c>
      <c r="B11" s="6" t="s">
        <v>39</v>
      </c>
      <c r="C11" s="9" t="s">
        <v>62</v>
      </c>
      <c r="D11" s="9" t="s">
        <v>63</v>
      </c>
      <c r="E11" s="6" t="s">
        <v>27</v>
      </c>
      <c r="F11" s="5" t="s">
        <v>64</v>
      </c>
      <c r="G11" s="10" cm="1" t="str">
        <f t="array" ref="G11">IF(F11="","",SUBSTITUTE(SUBSTITUTE(SUBSTITUTE(SUBSTITUTE(F11,"&lt;li&gt;",CHAR(10)),"&lt;/li&gt;",""),"&lt;br&gt;",CHAR(10)),"&lt;strong&gt;",""))</f>
        <v>&lt;p&gt;Prospect injoignable, aucune réponse malgré relances. Dernière action : tentative de reprise totale du dossier, sans succès. Prochaine étape : relancer ou abandonner si absence de retour. Aucun retour du prospect sur les fonds présentés, aucune conclusion partagée. Situation bloquée à ce stade.&lt;/p&gt;</v>
      </c>
      <c r="H11" s="10" cm="1" t="str">
        <f t="array" ref="H11">IF(G11="","",SUBSTITUTE(SUBSTITUTE(SUBSTITUTE(SUBSTITUTE(SUBSTITUTE(G11,"&lt;p&gt;",""),"&lt;/p&gt;",""),"&lt;ul&gt;",""),"&lt;/ul&gt;",""),"&lt;/strong&gt;",""))</f>
        <v>Prospect injoignable, aucune réponse malgré relances. Dernière action : tentative de reprise totale du dossier, sans succès. Prochaine étape : relancer ou abandonner si absence de retour. Aucun retour du prospect sur les fonds présentés, aucune conclusion partagée. Situation bloquée à ce stade.</v>
      </c>
      <c r="I11" s="11" cm="1" t="str">
        <f t="array" ref="I11">IF(C11="","",IF(OR(H11="",H11=0,H11=FALSE),"-",H11))</f>
        <v>Prospect injoignable, aucune réponse malgré relances. Dernière action : tentative de reprise totale du dossier, sans succès. Prochaine étape : relancer ou abandonner si absence de retour. Aucun retour du prospect sur les fonds présentés, aucune conclusion partagée. Situation bloquée à ce stade.</v>
      </c>
      <c r="J11" s="5" t="s">
        <v>65</v>
      </c>
      <c r="K11" s="6" t="s">
        <v>57</v>
      </c>
      <c r="L11" s="6" cm="1" t="str">
        <f t="array" ref="L11">IF(C11="","",IF(K11="Mort / Plus rien à faire","KO","OK"))</f>
        <v>OK</v>
      </c>
      <c r="M11" s="12">
        <v>46129.748078703706</v>
      </c>
      <c r="N11" s="12" cm="1" t="n">
        <f t="array" ref="N11">IF(OR(C11="",M11="",M11=0),"",M11)</f>
        <v>46129.748078703706</v>
      </c>
      <c r="O11" s="12">
</c>
      <c r="P11" s="12" cm="1" t="str">
        <f t="array" ref="P11">IF(C11="","",IF(OR(O11="",O11=0),"-",O11))</f>
        <v>-</v>
      </c>
      <c r="Q11" s="13">
        <v>0</v>
      </c>
      <c r="R11" s="9" cm="1" t="str">
        <f t="array" ref="R11">IF(C11="","",ROUND(Q11/1000000,3)&amp;" M€")</f>
        <v>0 M€</v>
      </c>
      <c r="S11" s="9" t="s">
        <v>53</v>
      </c>
      <c r="T11" s="9" cm="1" t="str">
        <f t="array" ref="T11">IF(C11="","",SUBSTITUTE(S11,"","")&amp;"%")</f>
        <v>10%</v>
      </c>
      <c r="U11" s="11" cm="1" t="str">
        <f t="array" ref="U11">IF(($N11="")*($P11=""),"",IF(($N11&lt;&gt;"")*($N11&gt;TODAY()-9)*($N11&lt;TODAY()+1)*($P11&lt;&gt;"")*($P11&gt;=TODAY())*($P11&lt;=TODAY()+13),"Semaine passée &amp; à venir",IF(($N11&lt;&gt;"")*($N11&gt;TODAY()-9)*($N11&lt;TODAY()+1),"Semaine passée",IF(($P11&lt;&gt;"")*($P11&gt;=TODAY())*($P11&lt;=TODAY()+13),"À venir","Autre"))))</f>
        <v>Autre</v>
      </c>
      <c r="V11" s="5" cm="1" t="n">
        <f t="array" ref="V11">IF(C11&lt;&gt;"",1,0)</f>
        <v>1</v>
      </c>
      <c r="W11" s="5">
</c>
      <c r="X11" s="5">
</c>
      <c r="Y11" s="5">
</c>
      <c r="Z11" s="5">
</c>
      <c r="AA11" s="5">
</c>
      <c r="AB11" s="5">
</c>
      <c r="AC11" s="5">
</c>
      <c r="AD11" s="5">
</c>
      <c r="AE11" s="5">
</c>
      <c r="AF11" s="5">
</c>
      <c r="AG11" s="5">
</c>
      <c r="AH11" s="5">
</c>
      <c r="AI11" s="5">
</c>
      <c r="AJ11" s="5">
</c>
    </row>
    <row r="12" ht="81" customHeight="1">
      <c r="A12" s="6" t="s">
        <v>23</v>
      </c>
      <c r="B12" s="6" t="s">
        <v>49</v>
      </c>
      <c r="C12" s="9" t="s">
        <v>66</v>
      </c>
      <c r="D12" s="9" t="s">
        <v>67</v>
      </c>
      <c r="E12" s="6" t="s">
        <v>27</v>
      </c>
      <c r="F12" s="5" t="s">
        <v>68</v>
      </c>
      <c r="G12" s="10" cm="1" t="str">
        <f t="array" ref="G12">IF(F12="","",SUBSTITUTE(SUBSTITUTE(SUBSTITUTE(SUBSTITUTE(F12,"&lt;li&gt;",CHAR(10)),"&lt;/li&gt;",""),"&lt;br&gt;",CHAR(10)),"&lt;strong&gt;",""))</f>
        <v>&lt;p&gt;Aucune activité récente ni échange spécifique détecté avec MONCEAU GENERALE ASSURANCES. Nouvelle piste créée pour équipe Ventes, aucun suivi ou interaction supplémentaire relevé. Pas de retour prospect, pas d'étape à venir identifiée. Infos générales : acteur assurance, présence historique France.&lt;/p&gt;</v>
      </c>
      <c r="H12" s="10" cm="1" t="str">
        <f t="array" ref="H12">IF(G12="","",SUBSTITUTE(SUBSTITUTE(SUBSTITUTE(SUBSTITUTE(SUBSTITUTE(G12,"&lt;p&gt;",""),"&lt;/p&gt;",""),"&lt;ul&gt;",""),"&lt;/ul&gt;",""),"&lt;/strong&gt;",""))</f>
        <v>Aucune activité récente ni échange spécifique détecté avec MONCEAU GENERALE ASSURANCES. Nouvelle piste créée pour équipe Ventes, aucun suivi ou interaction supplémentaire relevé. Pas de retour prospect, pas d'étape à venir identifiée. Infos générales : acteur assurance, présence historique France.</v>
      </c>
      <c r="I12" s="11" cm="1" t="str">
        <f t="array" ref="I12">IF(C12="","",IF(OR(H12="",H12=0,H12=FALSE),"-",H12))</f>
        <v>Aucune activité récente ni échange spécifique détecté avec MONCEAU GENERALE ASSURANCES. Nouvelle piste créée pour équipe Ventes, aucun suivi ou interaction supplémentaire relevé. Pas de retour prospect, pas d'étape à venir identifiée. Infos générales : acteur assurance, présence historique France.</v>
      </c>
      <c r="J12" s="5">
</c>
      <c r="K12" s="6" t="s">
        <v>57</v>
      </c>
      <c r="L12" s="6" cm="1" t="str">
        <f t="array" ref="L12">IF(C12="","",IF(K12="Mort / Plus rien à faire","KO","OK"))</f>
        <v>OK</v>
      </c>
      <c r="M12" s="12">
        <v>46028.560266203705</v>
      </c>
      <c r="N12" s="12" cm="1" t="n">
        <f t="array" ref="N12">IF(OR(C12="",M12="",M12=0),"",M12)</f>
        <v>46028.560266203705</v>
      </c>
      <c r="O12" s="12">
</c>
      <c r="P12" s="12" cm="1" t="str">
        <f t="array" ref="P12">IF(C12="","",IF(OR(O12="",O12=0),"-",O12))</f>
        <v>-</v>
      </c>
      <c r="Q12" s="13">
        <v>0</v>
      </c>
      <c r="R12" s="9" cm="1" t="str">
        <f t="array" ref="R12">IF(C12="","",ROUND(Q12/1000000,3)&amp;" M€")</f>
        <v>0 M€</v>
      </c>
      <c r="S12" s="9" t="s">
        <v>53</v>
      </c>
      <c r="T12" s="9" cm="1" t="str">
        <f t="array" ref="T12">IF(C12="","",SUBSTITUTE(S12,"","")&amp;"%")</f>
        <v>10%</v>
      </c>
      <c r="U12" s="11" cm="1" t="str">
        <f t="array" ref="U12">IF(($N12="")*($P12=""),"",IF(($N12&lt;&gt;"")*($N12&gt;TODAY()-9)*($N12&lt;TODAY()+1)*($P12&lt;&gt;"")*($P12&gt;=TODAY())*($P12&lt;=TODAY()+13),"Semaine passée &amp; à venir",IF(($N12&lt;&gt;"")*($N12&gt;TODAY()-9)*($N12&lt;TODAY()+1),"Semaine passée",IF(($P12&lt;&gt;"")*($P12&gt;=TODAY())*($P12&lt;=TODAY()+13),"À venir","Autre"))))</f>
        <v>Autre</v>
      </c>
      <c r="V12" s="5" cm="1" t="n">
        <f t="array" ref="V12">IF(C12&lt;&gt;"",1,0)</f>
        <v>1</v>
      </c>
      <c r="W12" s="5">
</c>
      <c r="X12" s="5">
</c>
      <c r="Y12" s="5">
</c>
      <c r="Z12" s="5">
</c>
      <c r="AA12" s="5">
</c>
      <c r="AB12" s="5">
</c>
      <c r="AC12" s="5">
</c>
      <c r="AD12" s="5">
</c>
      <c r="AE12" s="5">
</c>
      <c r="AF12" s="5">
</c>
      <c r="AG12" s="5">
</c>
      <c r="AH12" s="5">
</c>
      <c r="AI12" s="5">
</c>
      <c r="AJ12" s="5">
</c>
    </row>
    <row r="13" ht="81" customHeight="1">
      <c r="A13" s="6" t="s">
        <v>23</v>
      </c>
      <c r="B13" s="6" t="s">
        <v>69</v>
      </c>
      <c r="C13" s="9" t="s">
        <v>70</v>
      </c>
      <c r="D13" s="9" t="s">
        <v>71</v>
      </c>
      <c r="E13" s="6" t="s">
        <v>72</v>
      </c>
      <c r="F13" s="5" t="s">
        <v>73</v>
      </c>
      <c r="G13" s="10" cm="1" t="str">
        <f t="array" ref="G13">IF(F13="","",SUBSTITUTE(SUBSTITUTE(SUBSTITUTE(SUBSTITUTE(F13,"&lt;li&gt;",CHAR(10)),"&lt;/li&gt;",""),"&lt;br&gt;",CHAR(10)),"&lt;strong&gt;",""))</f>
        <v>&lt;p&gt;Nouvelle piste créée équipe Ventes. Tentative d'enrichissement lead échouée (email invalide). Activité : gros client intéressé deeptech, résumé : intérêt marqué. Prochaine étape non précisée, suivi à prévoir. Aucun retour prospect sur fonds présenté, pas de conclusion mentionnée.&lt;/p&gt;</v>
      </c>
      <c r="H13" s="10" cm="1" t="str">
        <f t="array" ref="H13">IF(G13="","",SUBSTITUTE(SUBSTITUTE(SUBSTITUTE(SUBSTITUTE(SUBSTITUTE(G13,"&lt;p&gt;",""),"&lt;/p&gt;",""),"&lt;ul&gt;",""),"&lt;/ul&gt;",""),"&lt;/strong&gt;",""))</f>
        <v>Nouvelle piste créée équipe Ventes. Tentative d'enrichissement lead échouée (email invalide). Activité : gros client intéressé deeptech, résumé : intérêt marqué. Prochaine étape non précisée, suivi à prévoir. Aucun retour prospect sur fonds présenté, pas de conclusion mentionnée.</v>
      </c>
      <c r="I13" s="11" cm="1" t="str">
        <f t="array" ref="I13">IF(C13="","",IF(OR(H13="",H13=0,H13=FALSE),"-",H13))</f>
        <v>Nouvelle piste créée équipe Ventes. Tentative d'enrichissement lead échouée (email invalide). Activité : gros client intéressé deeptech, résumé : intérêt marqué. Prochaine étape non précisée, suivi à prévoir. Aucun retour prospect sur fonds présenté, pas de conclusion mentionnée.</v>
      </c>
      <c r="J13" s="5" t="s">
        <v>74</v>
      </c>
      <c r="K13" s="6" t="s">
        <v>37</v>
      </c>
      <c r="L13" s="6" cm="1" t="str">
        <f t="array" ref="L13">IF(C13="","",IF(K13="Mort / Plus rien à faire","KO","OK"))</f>
        <v>OK</v>
      </c>
      <c r="M13" s="12">
        <v>46063.47607638889</v>
      </c>
      <c r="N13" s="12" cm="1" t="n">
        <f t="array" ref="N13">IF(OR(C13="",M13="",M13=0),"",M13)</f>
        <v>46063.47607638889</v>
      </c>
      <c r="O13" s="12">
</c>
      <c r="P13" s="12" cm="1" t="str">
        <f t="array" ref="P13">IF(C13="","",IF(OR(O13="",O13=0),"-",O13))</f>
        <v>-</v>
      </c>
      <c r="Q13" s="13">
        <v>0</v>
      </c>
      <c r="R13" s="9" cm="1" t="str">
        <f t="array" ref="R13">IF(C13="","",ROUND(Q13/1000000,3)&amp;" M€")</f>
        <v>0 M€</v>
      </c>
      <c r="S13" s="9" t="s">
        <v>53</v>
      </c>
      <c r="T13" s="9" cm="1" t="str">
        <f t="array" ref="T13">IF(C13="","",SUBSTITUTE(S13,"","")&amp;"%")</f>
        <v>10%</v>
      </c>
      <c r="U13" s="11" cm="1" t="str">
        <f t="array" ref="U13">IF(($N13="")*($P13=""),"",IF(($N13&lt;&gt;"")*($N13&gt;TODAY()-9)*($N13&lt;TODAY()+1)*($P13&lt;&gt;"")*($P13&gt;=TODAY())*($P13&lt;=TODAY()+13),"Semaine passée &amp; à venir",IF(($N13&lt;&gt;"")*($N13&gt;TODAY()-9)*($N13&lt;TODAY()+1),"Semaine passée",IF(($P13&lt;&gt;"")*($P13&gt;=TODAY())*($P13&lt;=TODAY()+13),"À venir","Autre"))))</f>
        <v>Autre</v>
      </c>
      <c r="V13" s="5" cm="1" t="n">
        <f t="array" ref="V13">IF(C13&lt;&gt;"",1,0)</f>
        <v>1</v>
      </c>
      <c r="W13" s="5">
</c>
      <c r="X13" s="5">
</c>
      <c r="Y13" s="5">
</c>
      <c r="Z13" s="5">
</c>
      <c r="AA13" s="5">
</c>
      <c r="AB13" s="5">
</c>
      <c r="AC13" s="5">
</c>
      <c r="AD13" s="5">
</c>
      <c r="AE13" s="5">
</c>
      <c r="AF13" s="5">
</c>
      <c r="AG13" s="5">
</c>
      <c r="AH13" s="5">
</c>
      <c r="AI13" s="5">
</c>
      <c r="AJ13" s="5">
</c>
    </row>
    <row r="14" ht="81" customHeight="1">
      <c r="A14" s="6" t="s">
        <v>23</v>
      </c>
      <c r="B14" s="6" t="s">
        <v>58</v>
      </c>
      <c r="C14" s="9" t="s">
        <v>75</v>
      </c>
      <c r="D14" s="9" t="s">
        <v>76</v>
      </c>
      <c r="E14" s="6" t="s">
        <v>34</v>
      </c>
      <c r="F14" s="5" t="s">
        <v>77</v>
      </c>
      <c r="G14" s="10" cm="1" t="str">
        <f t="array" ref="G14">IF(F14="","",SUBSTITUTE(SUBSTITUTE(SUBSTITUTE(SUBSTITUTE(F14,"&lt;li&gt;",CHAR(10)),"&lt;/li&gt;",""),"&lt;br&gt;",CHAR(10)),"&lt;strong&gt;",""))</f>
        <v>&lt;p&gt;Relance 28/05, pas de retour. Prospect indique priorités inchangées, équipe très occupée, propose de reprendre contact en Q4. Déjà signalé en avril : pipeline plein, réouverture possible plus tard dans l'année. Prochaine étape : relance à prévoir fin Q3/début Q4, attente retour prospect.&lt;/p&gt;</v>
      </c>
      <c r="H14" s="10" cm="1" t="str">
        <f t="array" ref="H14">IF(G14="","",SUBSTITUTE(SUBSTITUTE(SUBSTITUTE(SUBSTITUTE(SUBSTITUTE(G14,"&lt;p&gt;",""),"&lt;/p&gt;",""),"&lt;ul&gt;",""),"&lt;/ul&gt;",""),"&lt;/strong&gt;",""))</f>
        <v>Relance 28/05, pas de retour. Prospect indique priorités inchangées, équipe très occupée, propose de reprendre contact en Q4. Déjà signalé en avril : pipeline plein, réouverture possible plus tard dans l'année. Prochaine étape : relance à prévoir fin Q3/début Q4, attente retour prospect.</v>
      </c>
      <c r="I14" s="11" cm="1" t="str">
        <f t="array" ref="I14">IF(C14="","",IF(OR(H14="",H14=0,H14=FALSE),"-",H14))</f>
        <v>Relance 28/05, pas de retour. Prospect indique priorités inchangées, équipe très occupée, propose de reprendre contact en Q4. Déjà signalé en avril : pipeline plein, réouverture possible plus tard dans l'année. Prochaine étape : relance à prévoir fin Q3/début Q4, attente retour prospect.</v>
      </c>
      <c r="J14" s="5" t="s">
        <v>36</v>
      </c>
      <c r="K14" s="6" t="s">
        <v>78</v>
      </c>
      <c r="L14" s="6" cm="1" t="str">
        <f t="array" ref="L14">IF(C14="","",IF(K14="Mort / Plus rien à faire","KO","OK"))</f>
        <v>OK</v>
      </c>
      <c r="M14" s="12">
        <v>46170.672268518516</v>
      </c>
      <c r="N14" s="12" cm="1" t="n">
        <f t="array" ref="N14">IF(OR(C14="",M14="",M14=0),"",M14)</f>
        <v>46170.672268518516</v>
      </c>
      <c r="O14" s="12">
        <v>46296.083333333336</v>
      </c>
      <c r="P14" s="12" cm="1" t="n">
        <f t="array" ref="P14">IF(C14="","",IF(OR(O14="",O14=0),"-",O14))</f>
        <v>46296.083333333336</v>
      </c>
      <c r="Q14" s="13">
        <v>0</v>
      </c>
      <c r="R14" s="9" cm="1" t="str">
        <f t="array" ref="R14">IF(C14="","",ROUND(Q14/1000000,3)&amp;" M€")</f>
        <v>0 M€</v>
      </c>
      <c r="S14" s="9" t="s">
        <v>53</v>
      </c>
      <c r="T14" s="9" cm="1" t="str">
        <f t="array" ref="T14">IF(C14="","",SUBSTITUTE(S14,"","")&amp;"%")</f>
        <v>10%</v>
      </c>
      <c r="U14" s="11" cm="1" t="str">
        <f t="array" ref="U14">IF(($N14="")*($P14=""),"",IF(($N14&lt;&gt;"")*($N14&gt;TODAY()-9)*($N14&lt;TODAY()+1)*($P14&lt;&gt;"")*($P14&gt;=TODAY())*($P14&lt;=TODAY()+13),"Semaine passée &amp; à venir",IF(($N14&lt;&gt;"")*($N14&gt;TODAY()-9)*($N14&lt;TODAY()+1),"Semaine passée",IF(($P14&lt;&gt;"")*($P14&gt;=TODAY())*($P14&lt;=TODAY()+13),"À venir","Autre"))))</f>
        <v>Semaine passée</v>
      </c>
      <c r="V14" s="5" cm="1" t="n">
        <f t="array" ref="V14">IF(C14&lt;&gt;"",1,0)</f>
        <v>1</v>
      </c>
      <c r="W14" s="5">
</c>
      <c r="X14" s="5">
</c>
      <c r="Y14" s="5">
</c>
      <c r="Z14" s="5">
</c>
      <c r="AA14" s="5">
</c>
      <c r="AB14" s="5">
</c>
      <c r="AC14" s="5">
</c>
      <c r="AD14" s="5">
</c>
      <c r="AE14" s="5">
</c>
      <c r="AF14" s="5">
</c>
      <c r="AG14" s="5">
</c>
      <c r="AH14" s="5">
</c>
      <c r="AI14" s="5">
</c>
      <c r="AJ14" s="5">
</c>
    </row>
    <row r="15" ht="81" customHeight="1">
      <c r="A15" s="6" t="s">
        <v>23</v>
      </c>
      <c r="B15" s="6">
</c>
      <c r="C15" s="9" t="s">
        <v>62</v>
      </c>
      <c r="D15" s="9" t="s">
        <v>79</v>
      </c>
      <c r="E15" s="6" t="s">
        <v>34</v>
      </c>
      <c r="F15" s="5" t="s">
        <v>80</v>
      </c>
      <c r="G15" s="10" cm="1" t="str">
        <f t="array" ref="G15">IF(F15="","",SUBSTITUTE(SUBSTITUTE(SUBSTITUTE(SUBSTITUTE(F15,"&lt;li&gt;",CHAR(10)),"&lt;/li&gt;",""),"&lt;br&gt;",CHAR(10)),"&lt;strong&gt;",""))</f>
        <v>&lt;p&gt;Deck envoyé après rencontre Charles/Laurent, suite à lead LG. Suivi à faire : contacter Thomas Riche Poussin à Londres pour avancer discussion fonds de fonds. Nouvelle piste créée équipe Ventes. Pas de retour prospect sur fonds pour l’instant. Dernière action 29/04/2026.&lt;/p&gt;</v>
      </c>
      <c r="H15" s="10" cm="1" t="str">
        <f t="array" ref="H15">IF(G15="","",SUBSTITUTE(SUBSTITUTE(SUBSTITUTE(SUBSTITUTE(SUBSTITUTE(G15,"&lt;p&gt;",""),"&lt;/p&gt;",""),"&lt;ul&gt;",""),"&lt;/ul&gt;",""),"&lt;/strong&gt;",""))</f>
        <v>Deck envoyé après rencontre Charles/Laurent, suite à lead LG. Suivi à faire : contacter Thomas Riche Poussin à Londres pour avancer discussion fonds de fonds. Nouvelle piste créée équipe Ventes. Pas de retour prospect sur fonds pour l’instant. Dernière action 29/04/2026.</v>
      </c>
      <c r="I15" s="11" cm="1" t="str">
        <f t="array" ref="I15">IF(C15="","",IF(OR(H15="",H15=0,H15=FALSE),"-",H15))</f>
        <v>Deck envoyé après rencontre Charles/Laurent, suite à lead LG. Suivi à faire : contacter Thomas Riche Poussin à Londres pour avancer discussion fonds de fonds. Nouvelle piste créée équipe Ventes. Pas de retour prospect sur fonds pour l’instant. Dernière action 29/04/2026.</v>
      </c>
      <c r="J15" s="5">
</c>
      <c r="K15" s="6" t="s">
        <v>37</v>
      </c>
      <c r="L15" s="6" cm="1" t="str">
        <f t="array" ref="L15">IF(C15="","",IF(K15="Mort / Plus rien à faire","KO","OK"))</f>
        <v>OK</v>
      </c>
      <c r="M15" s="12">
        <v>46141.590578703705</v>
      </c>
      <c r="N15" s="12" cm="1" t="n">
        <f t="array" ref="N15">IF(OR(C15="",M15="",M15=0),"",M15)</f>
        <v>46141.590578703705</v>
      </c>
      <c r="O15" s="12">
</c>
      <c r="P15" s="12" cm="1" t="str">
        <f t="array" ref="P15">IF(C15="","",IF(OR(O15="",O15=0),"-",O15))</f>
        <v>-</v>
      </c>
      <c r="Q15" s="13">
        <v>0</v>
      </c>
      <c r="R15" s="9" cm="1" t="str">
        <f t="array" ref="R15">IF(C15="","",ROUND(Q15/1000000,3)&amp;" M€")</f>
        <v>0 M€</v>
      </c>
      <c r="S15" s="9" t="s">
        <v>53</v>
      </c>
      <c r="T15" s="9" cm="1" t="str">
        <f t="array" ref="T15">IF(C15="","",SUBSTITUTE(S15,"","")&amp;"%")</f>
        <v>10%</v>
      </c>
      <c r="U15" s="11" cm="1" t="str">
        <f t="array" ref="U15">IF(($N15="")*($P15=""),"",IF(($N15&lt;&gt;"")*($N15&gt;TODAY()-9)*($N15&lt;TODAY()+1)*($P15&lt;&gt;"")*($P15&gt;=TODAY())*($P15&lt;=TODAY()+13),"Semaine passée &amp; à venir",IF(($N15&lt;&gt;"")*($N15&gt;TODAY()-9)*($N15&lt;TODAY()+1),"Semaine passée",IF(($P15&lt;&gt;"")*($P15&gt;=TODAY())*($P15&lt;=TODAY()+13),"À venir","Autre"))))</f>
        <v>Autre</v>
      </c>
      <c r="V15" s="5" cm="1" t="n">
        <f t="array" ref="V15">IF(C15&lt;&gt;"",1,0)</f>
        <v>1</v>
      </c>
      <c r="W15" s="5">
</c>
      <c r="X15" s="5">
</c>
      <c r="Y15" s="5">
</c>
      <c r="Z15" s="5">
</c>
      <c r="AA15" s="5">
</c>
      <c r="AB15" s="5">
</c>
      <c r="AC15" s="5">
</c>
      <c r="AD15" s="5">
</c>
      <c r="AE15" s="5">
</c>
      <c r="AF15" s="5">
</c>
      <c r="AG15" s="5">
</c>
      <c r="AH15" s="5">
</c>
      <c r="AI15" s="5">
</c>
      <c r="AJ15" s="5">
</c>
    </row>
    <row r="16" ht="81" customHeight="1">
      <c r="A16" s="6" t="s">
        <v>23</v>
      </c>
      <c r="B16" s="6">
</c>
      <c r="C16" s="9" t="s">
        <v>81</v>
      </c>
      <c r="D16" s="9" t="s">
        <v>82</v>
      </c>
      <c r="E16" s="6" t="s">
        <v>27</v>
      </c>
      <c r="F16" s="5" t="s">
        <v>83</v>
      </c>
      <c r="G16" s="10" cm="1" t="str">
        <f t="array" ref="G16">IF(F16="","",SUBSTITUTE(SUBSTITUTE(SUBSTITUTE(SUBSTITUTE(F16,"&lt;li&gt;",CHAR(10)),"&lt;/li&gt;",""),"&lt;br&gt;",CHAR(10)),"&lt;strong&gt;",""))</f>
        <v>&lt;p&gt;Nouvelle piste créée pour équipe Ventes, relance effectuée par Romain Andrieu. Pas d'autres actions ou retours du prospect mentionnés. Prochaines étapes non précisées, attente de réponse suite à la relance.&lt;/p&gt;</v>
      </c>
      <c r="H16" s="10" cm="1" t="str">
        <f t="array" ref="H16">IF(G16="","",SUBSTITUTE(SUBSTITUTE(SUBSTITUTE(SUBSTITUTE(SUBSTITUTE(G16,"&lt;p&gt;",""),"&lt;/p&gt;",""),"&lt;ul&gt;",""),"&lt;/ul&gt;",""),"&lt;/strong&gt;",""))</f>
        <v>Nouvelle piste créée pour équipe Ventes, relance effectuée par Romain Andrieu. Pas d'autres actions ou retours du prospect mentionnés. Prochaines étapes non précisées, attente de réponse suite à la relance.</v>
      </c>
      <c r="I16" s="11" cm="1" t="str">
        <f t="array" ref="I16">IF(C16="","",IF(OR(H16="",H16=0,H16=FALSE),"-",H16))</f>
        <v>Nouvelle piste créée pour équipe Ventes, relance effectuée par Romain Andrieu. Pas d'autres actions ou retours du prospect mentionnés. Prochaines étapes non précisées, attente de réponse suite à la relance.</v>
      </c>
      <c r="J16" s="5">
</c>
      <c r="K16" s="6" t="s">
        <v>78</v>
      </c>
      <c r="L16" s="6" cm="1" t="str">
        <f t="array" ref="L16">IF(C16="","",IF(K16="Mort / Plus rien à faire","KO","OK"))</f>
        <v>OK</v>
      </c>
      <c r="M16" s="12">
        <v>46135.78428240741</v>
      </c>
      <c r="N16" s="12" cm="1" t="n">
        <f t="array" ref="N16">IF(OR(C16="",M16="",M16=0),"",M16)</f>
        <v>46135.78428240741</v>
      </c>
      <c r="O16" s="12">
</c>
      <c r="P16" s="12" cm="1" t="str">
        <f t="array" ref="P16">IF(C16="","",IF(OR(O16="",O16=0),"-",O16))</f>
        <v>-</v>
      </c>
      <c r="Q16" s="13">
        <v>0</v>
      </c>
      <c r="R16" s="9" cm="1" t="str">
        <f t="array" ref="R16">IF(C16="","",ROUND(Q16/1000000,3)&amp;" M€")</f>
        <v>0 M€</v>
      </c>
      <c r="S16" s="9" t="s">
        <v>53</v>
      </c>
      <c r="T16" s="9" cm="1" t="str">
        <f t="array" ref="T16">IF(C16="","",SUBSTITUTE(S16,"","")&amp;"%")</f>
        <v>10%</v>
      </c>
      <c r="U16" s="11" cm="1" t="str">
        <f t="array" ref="U16">IF(($N16="")*($P16=""),"",IF(($N16&lt;&gt;"")*($N16&gt;TODAY()-9)*($N16&lt;TODAY()+1)*($P16&lt;&gt;"")*($P16&gt;=TODAY())*($P16&lt;=TODAY()+13),"Semaine passée &amp; à venir",IF(($N16&lt;&gt;"")*($N16&gt;TODAY()-9)*($N16&lt;TODAY()+1),"Semaine passée",IF(($P16&lt;&gt;"")*($P16&gt;=TODAY())*($P16&lt;=TODAY()+13),"À venir","Autre"))))</f>
        <v>Autre</v>
      </c>
      <c r="V16" s="5" cm="1" t="n">
        <f t="array" ref="V16">IF(C16&lt;&gt;"",1,0)</f>
        <v>1</v>
      </c>
      <c r="W16" s="5">
</c>
      <c r="X16" s="5">
</c>
      <c r="Y16" s="5">
</c>
      <c r="Z16" s="5">
</c>
      <c r="AA16" s="5">
</c>
      <c r="AB16" s="5">
</c>
      <c r="AC16" s="5">
</c>
      <c r="AD16" s="5">
</c>
      <c r="AE16" s="5">
</c>
      <c r="AF16" s="5">
</c>
      <c r="AG16" s="5">
</c>
      <c r="AH16" s="5">
</c>
      <c r="AI16" s="5">
</c>
      <c r="AJ16" s="5">
</c>
    </row>
    <row r="17" ht="81" customHeight="1">
      <c r="A17" s="6" t="s">
        <v>23</v>
      </c>
      <c r="B17" s="6" t="s">
        <v>39</v>
      </c>
      <c r="C17" s="9" t="s">
        <v>84</v>
      </c>
      <c r="D17" s="9" t="s">
        <v>85</v>
      </c>
      <c r="E17" s="6" t="s">
        <v>27</v>
      </c>
      <c r="F17" s="5" t="s">
        <v>86</v>
      </c>
      <c r="G17" s="10" cm="1" t="str">
        <f t="array" ref="G17">IF(F17="","",SUBSTITUTE(SUBSTITUTE(SUBSTITUTE(SUBSTITUTE(F17,"&lt;li&gt;",CHAR(10)),"&lt;/li&gt;",""),"&lt;br&gt;",CHAR(10)),"&lt;strong&gt;",""))</f>
        <v>&lt;p&gt;Nouvelle piste créée pour équipe Ventes, relance effectuée par Romain Andrieu le 23/04/2026. Aucune autre activité ou retour prospect enregistré à ce jour. Prochaines étapes non planifiées, attente de réponse suite relance.&lt;/p&gt;</v>
      </c>
      <c r="H17" s="10" cm="1" t="str">
        <f t="array" ref="H17">IF(G17="","",SUBSTITUTE(SUBSTITUTE(SUBSTITUTE(SUBSTITUTE(SUBSTITUTE(G17,"&lt;p&gt;",""),"&lt;/p&gt;",""),"&lt;ul&gt;",""),"&lt;/ul&gt;",""),"&lt;/strong&gt;",""))</f>
        <v>Nouvelle piste créée pour équipe Ventes, relance effectuée par Romain Andrieu le 23/04/2026. Aucune autre activité ou retour prospect enregistré à ce jour. Prochaines étapes non planifiées, attente de réponse suite relance.</v>
      </c>
      <c r="I17" s="11" cm="1" t="str">
        <f t="array" ref="I17">IF(C17="","",IF(OR(H17="",H17=0,H17=FALSE),"-",H17))</f>
        <v>Nouvelle piste créée pour équipe Ventes, relance effectuée par Romain Andrieu le 23/04/2026. Aucune autre activité ou retour prospect enregistré à ce jour. Prochaines étapes non planifiées, attente de réponse suite relance.</v>
      </c>
      <c r="J17" s="5">
</c>
      <c r="K17" s="6" t="s">
        <v>78</v>
      </c>
      <c r="L17" s="6" cm="1" t="str">
        <f t="array" ref="L17">IF(C17="","",IF(K17="Mort / Plus rien à faire","KO","OK"))</f>
        <v>OK</v>
      </c>
      <c r="M17" s="12">
        <v>46135.784004629626</v>
      </c>
      <c r="N17" s="12" cm="1" t="n">
        <f t="array" ref="N17">IF(OR(C17="",M17="",M17=0),"",M17)</f>
        <v>46135.784004629626</v>
      </c>
      <c r="O17" s="12">
</c>
      <c r="P17" s="12" cm="1" t="str">
        <f t="array" ref="P17">IF(C17="","",IF(OR(O17="",O17=0),"-",O17))</f>
        <v>-</v>
      </c>
      <c r="Q17" s="13">
        <v>0</v>
      </c>
      <c r="R17" s="9" cm="1" t="str">
        <f t="array" ref="R17">IF(C17="","",ROUND(Q17/1000000,3)&amp;" M€")</f>
        <v>0 M€</v>
      </c>
      <c r="S17" s="9" t="s">
        <v>53</v>
      </c>
      <c r="T17" s="9" cm="1" t="str">
        <f t="array" ref="T17">IF(C17="","",SUBSTITUTE(S17,"","")&amp;"%")</f>
        <v>10%</v>
      </c>
      <c r="U17" s="11" cm="1" t="str">
        <f t="array" ref="U17">IF(($N17="")*($P17=""),"",IF(($N17&lt;&gt;"")*($N17&gt;TODAY()-9)*($N17&lt;TODAY()+1)*($P17&lt;&gt;"")*($P17&gt;=TODAY())*($P17&lt;=TODAY()+13),"Semaine passée &amp; à venir",IF(($N17&lt;&gt;"")*($N17&gt;TODAY()-9)*($N17&lt;TODAY()+1),"Semaine passée",IF(($P17&lt;&gt;"")*($P17&gt;=TODAY())*($P17&lt;=TODAY()+13),"À venir","Autre"))))</f>
        <v>Autre</v>
      </c>
      <c r="V17" s="5" cm="1" t="n">
        <f t="array" ref="V17">IF(C17&lt;&gt;"",1,0)</f>
        <v>1</v>
      </c>
      <c r="W17" s="5">
</c>
      <c r="X17" s="5">
</c>
      <c r="Y17" s="5">
</c>
      <c r="Z17" s="5">
</c>
      <c r="AA17" s="5">
</c>
      <c r="AB17" s="5">
</c>
      <c r="AC17" s="5">
</c>
      <c r="AD17" s="5">
</c>
      <c r="AE17" s="5">
</c>
      <c r="AF17" s="5">
</c>
      <c r="AG17" s="5">
</c>
      <c r="AH17" s="5">
</c>
      <c r="AI17" s="5">
</c>
      <c r="AJ17" s="5">
</c>
    </row>
    <row r="18" ht="81" customHeight="1">
      <c r="A18" s="6" t="s">
        <v>23</v>
      </c>
      <c r="B18" s="6" t="s">
        <v>24</v>
      </c>
      <c r="C18" s="9" t="s">
        <v>87</v>
      </c>
      <c r="D18" s="9" t="s">
        <v>88</v>
      </c>
      <c r="E18" s="6" t="s">
        <v>27</v>
      </c>
      <c r="F18" s="5" t="s">
        <v>89</v>
      </c>
      <c r="G18" s="10" cm="1" t="str">
        <f t="array" ref="G18">IF(F18="","",SUBSTITUTE(SUBSTITUTE(SUBSTITUTE(SUBSTITUTE(F18,"&lt;li&gt;",CHAR(10)),"&lt;/li&gt;",""),"&lt;br&gt;",CHAR(10)),"&lt;strong&gt;",""))</f>
        <v>&lt;p&gt;Thierry Vallet rejoint GP 1,3bn (ARKEA Capital) avec Pierre-Emmanuel Boulic, relation positive. Insistance sur l'identité du responsable ESG côté équipe. Nouvelle piste créée pour équipe Ventes. Pas d'autres actions ou retours prospect sur fonds. Prochaines étapes non précisées.&lt;/p&gt;</v>
      </c>
      <c r="H18" s="10" cm="1" t="str">
        <f t="array" ref="H18">IF(G18="","",SUBSTITUTE(SUBSTITUTE(SUBSTITUTE(SUBSTITUTE(SUBSTITUTE(G18,"&lt;p&gt;",""),"&lt;/p&gt;",""),"&lt;ul&gt;",""),"&lt;/ul&gt;",""),"&lt;/strong&gt;",""))</f>
        <v>Thierry Vallet rejoint GP 1,3bn (ARKEA Capital) avec Pierre-Emmanuel Boulic, relation positive. Insistance sur l'identité du responsable ESG côté équipe. Nouvelle piste créée pour équipe Ventes. Pas d'autres actions ou retours prospect sur fonds. Prochaines étapes non précisées.</v>
      </c>
      <c r="I18" s="11" cm="1" t="str">
        <f t="array" ref="I18">IF(C18="","",IF(OR(H18="",H18=0,H18=FALSE),"-",H18))</f>
        <v>Thierry Vallet rejoint GP 1,3bn (ARKEA Capital) avec Pierre-Emmanuel Boulic, relation positive. Insistance sur l'identité du responsable ESG côté équipe. Nouvelle piste créée pour équipe Ventes. Pas d'autres actions ou retours prospect sur fonds. Prochaines étapes non précisées.</v>
      </c>
      <c r="J18" s="5">
</c>
      <c r="K18" s="6" t="s">
        <v>78</v>
      </c>
      <c r="L18" s="6" cm="1" t="str">
        <f t="array" ref="L18">IF(C18="","",IF(K18="Mort / Plus rien à faire","KO","OK"))</f>
        <v>OK</v>
      </c>
      <c r="M18" s="12">
        <v>46135.81023148148</v>
      </c>
      <c r="N18" s="12" cm="1" t="n">
        <f t="array" ref="N18">IF(OR(C18="",M18="",M18=0),"",M18)</f>
        <v>46135.81023148148</v>
      </c>
      <c r="O18" s="12">
</c>
      <c r="P18" s="12" cm="1" t="str">
        <f t="array" ref="P18">IF(C18="","",IF(OR(O18="",O18=0),"-",O18))</f>
        <v>-</v>
      </c>
      <c r="Q18" s="13">
        <v>0</v>
      </c>
      <c r="R18" s="9" cm="1" t="str">
        <f t="array" ref="R18">IF(C18="","",ROUND(Q18/1000000,3)&amp;" M€")</f>
        <v>0 M€</v>
      </c>
      <c r="S18" s="9" t="s">
        <v>53</v>
      </c>
      <c r="T18" s="9" cm="1" t="str">
        <f t="array" ref="T18">IF(C18="","",SUBSTITUTE(S18,"","")&amp;"%")</f>
        <v>10%</v>
      </c>
      <c r="U18" s="11" cm="1" t="str">
        <f t="array" ref="U18">IF(($N18="")*($P18=""),"",IF(($N18&lt;&gt;"")*($N18&gt;TODAY()-9)*($N18&lt;TODAY()+1)*($P18&lt;&gt;"")*($P18&gt;=TODAY())*($P18&lt;=TODAY()+13),"Semaine passée &amp; à venir",IF(($N18&lt;&gt;"")*($N18&gt;TODAY()-9)*($N18&lt;TODAY()+1),"Semaine passée",IF(($P18&lt;&gt;"")*($P18&gt;=TODAY())*($P18&lt;=TODAY()+13),"À venir","Autre"))))</f>
        <v>Autre</v>
      </c>
      <c r="V18" s="5" cm="1" t="n">
        <f t="array" ref="V18">IF(C18&lt;&gt;"",1,0)</f>
        <v>1</v>
      </c>
      <c r="W18" s="5">
</c>
      <c r="X18" s="5">
</c>
      <c r="Y18" s="5">
</c>
      <c r="Z18" s="5">
</c>
      <c r="AA18" s="5">
</c>
      <c r="AB18" s="5">
</c>
      <c r="AC18" s="5">
</c>
      <c r="AD18" s="5">
</c>
      <c r="AE18" s="5">
</c>
      <c r="AF18" s="5">
</c>
      <c r="AG18" s="5">
</c>
      <c r="AH18" s="5">
</c>
      <c r="AI18" s="5">
</c>
      <c r="AJ18" s="5">
</c>
    </row>
    <row r="19" ht="81" customHeight="1">
      <c r="A19" s="6" t="s">
        <v>23</v>
      </c>
      <c r="B19" s="6" t="s">
        <v>90</v>
      </c>
      <c r="C19" s="9" t="s">
        <v>91</v>
      </c>
      <c r="D19" s="9" t="s">
        <v>92</v>
      </c>
      <c r="E19" s="6" t="s">
        <v>34</v>
      </c>
      <c r="F19" s="5" t="s">
        <v>93</v>
      </c>
      <c r="G19" s="10" cm="1" t="str">
        <f t="array" ref="G19">IF(F19="","",SUBSTITUTE(SUBSTITUTE(SUBSTITUTE(SUBSTITUTE(F19,"&lt;li&gt;",CHAR(10)),"&lt;/li&gt;",""),"&lt;br&gt;",CHAR(10)),"&lt;strong&gt;",""))</f>
        <v>&lt;p&gt;27/04 : Présentation activité, proposition rdv 4/05. 15/05 : Call avec Xpertise Lab (Romain, Théo, Victoria d'Honte), cabinet conseil HNWI/Family Offices, statut introducer, commission dégressive, test levée 1M€ secteur spatial. Actions : transmission CV/KYC Victoria, attente validation RCCI Lydia.&lt;/p&gt;</v>
      </c>
      <c r="H19" s="10" cm="1" t="str">
        <f t="array" ref="H19">IF(G19="","",SUBSTITUTE(SUBSTITUTE(SUBSTITUTE(SUBSTITUTE(SUBSTITUTE(G19,"&lt;p&gt;",""),"&lt;/p&gt;",""),"&lt;ul&gt;",""),"&lt;/ul&gt;",""),"&lt;/strong&gt;",""))</f>
        <v>27/04 : Présentation activité, proposition rdv 4/05. 15/05 : Call avec Xpertise Lab (Romain, Théo, Victoria d'Honte), cabinet conseil HNWI/Family Offices, statut introducer, commission dégressive, test levée 1M€ secteur spatial. Actions : transmission CV/KYC Victoria, attente validation RCCI Lydia.</v>
      </c>
      <c r="I19" s="11" cm="1" t="str">
        <f t="array" ref="I19">IF(C19="","",IF(OR(H19="",H19=0,H19=FALSE),"-",H19))</f>
        <v>27/04 : Présentation activité, proposition rdv 4/05. 15/05 : Call avec Xpertise Lab (Romain, Théo, Victoria d'Honte), cabinet conseil HNWI/Family Offices, statut introducer, commission dégressive, test levée 1M€ secteur spatial. Actions : transmission CV/KYC Victoria, attente validation RCCI Lydia.</v>
      </c>
      <c r="J19" s="5" t="s">
        <v>94</v>
      </c>
      <c r="K19" s="6" t="s">
        <v>57</v>
      </c>
      <c r="L19" s="6" cm="1" t="str">
        <f t="array" ref="L19">IF(C19="","",IF(K19="Mort / Plus rien à faire","KO","OK"))</f>
        <v>OK</v>
      </c>
      <c r="M19" s="12">
        <v>46170.49236111111</v>
      </c>
      <c r="N19" s="12" cm="1" t="n">
        <f t="array" ref="N19">IF(OR(C19="",M19="",M19=0),"",M19)</f>
        <v>46170.49236111111</v>
      </c>
      <c r="O19" s="12">
</c>
      <c r="P19" s="12" cm="1" t="str">
        <f t="array" ref="P19">IF(C19="","",IF(OR(O19="",O19=0),"-",O19))</f>
        <v>-</v>
      </c>
      <c r="Q19" s="13">
        <v>0</v>
      </c>
      <c r="R19" s="9" cm="1" t="str">
        <f t="array" ref="R19">IF(C19="","",ROUND(Q19/1000000,3)&amp;" M€")</f>
        <v>0 M€</v>
      </c>
      <c r="S19" s="9" t="s">
        <v>53</v>
      </c>
      <c r="T19" s="9" cm="1" t="str">
        <f t="array" ref="T19">IF(C19="","",SUBSTITUTE(S19,"","")&amp;"%")</f>
        <v>10%</v>
      </c>
      <c r="U19" s="11" cm="1" t="str">
        <f t="array" ref="U19">IF(($N19="")*($P19=""),"",IF(($N19&lt;&gt;"")*($N19&gt;TODAY()-9)*($N19&lt;TODAY()+1)*($P19&lt;&gt;"")*($P19&gt;=TODAY())*($P19&lt;=TODAY()+13),"Semaine passée &amp; à venir",IF(($N19&lt;&gt;"")*($N19&gt;TODAY()-9)*($N19&lt;TODAY()+1),"Semaine passée",IF(($P19&lt;&gt;"")*($P19&gt;=TODAY())*($P19&lt;=TODAY()+13),"À venir","Autre"))))</f>
        <v>Semaine passée</v>
      </c>
      <c r="V19" s="5" cm="1" t="n">
        <f t="array" ref="V19">IF(C19&lt;&gt;"",1,0)</f>
        <v>1</v>
      </c>
      <c r="W19" s="5">
</c>
      <c r="X19" s="5">
</c>
      <c r="Y19" s="5">
</c>
      <c r="Z19" s="5">
</c>
      <c r="AA19" s="5">
</c>
      <c r="AB19" s="5">
</c>
      <c r="AC19" s="5">
</c>
      <c r="AD19" s="5">
</c>
      <c r="AE19" s="5">
</c>
      <c r="AF19" s="5">
</c>
      <c r="AG19" s="5">
</c>
      <c r="AH19" s="5">
</c>
      <c r="AI19" s="5">
</c>
      <c r="AJ19" s="5">
</c>
    </row>
    <row r="20" ht="81" customHeight="1">
      <c r="A20" s="6" t="s">
        <v>23</v>
      </c>
      <c r="B20" s="6" t="s">
        <v>58</v>
      </c>
      <c r="C20" s="9" t="s">
        <v>95</v>
      </c>
      <c r="D20" s="9" t="s">
        <v>96</v>
      </c>
      <c r="E20" s="6" t="s">
        <v>34</v>
      </c>
      <c r="F20" s="5" t="s">
        <v>97</v>
      </c>
      <c r="G20" s="10" cm="1" t="str">
        <f t="array" ref="G20">IF(F20="","",SUBSTITUTE(SUBSTITUTE(SUBSTITUTE(SUBSTITUTE(F20,"&lt;li&gt;",CHAR(10)),"&lt;/li&gt;",""),"&lt;br&gt;",CHAR(10)),"&lt;strong&gt;",""))</f>
        <v>&lt;p&gt;28/04/26 : prospect intéressé, propose un call, Théo Salerno organise, mail envoyé avec 3 créneaux. RDV annulé, à recaler, relance mail faite. Pas d'autres activités ni retours prospect sur fonds présentés. Prochaine étape : reprogrammer le RDV.&lt;/p&gt;</v>
      </c>
      <c r="H20" s="10" cm="1" t="str">
        <f t="array" ref="H20">IF(G20="","",SUBSTITUTE(SUBSTITUTE(SUBSTITUTE(SUBSTITUTE(SUBSTITUTE(G20,"&lt;p&gt;",""),"&lt;/p&gt;",""),"&lt;ul&gt;",""),"&lt;/ul&gt;",""),"&lt;/strong&gt;",""))</f>
        <v>28/04/26 : prospect intéressé, propose un call, Théo Salerno organise, mail envoyé avec 3 créneaux. RDV annulé, à recaler, relance mail faite. Pas d'autres activités ni retours prospect sur fonds présentés. Prochaine étape : reprogrammer le RDV.</v>
      </c>
      <c r="I20" s="11" cm="1" t="str">
        <f t="array" ref="I20">IF(C20="","",IF(OR(H20="",H20=0,H20=FALSE),"-",H20))</f>
        <v>28/04/26 : prospect intéressé, propose un call, Théo Salerno organise, mail envoyé avec 3 créneaux. RDV annulé, à recaler, relance mail faite. Pas d'autres activités ni retours prospect sur fonds présentés. Prochaine étape : reprogrammer le RDV.</v>
      </c>
      <c r="J20" s="5">
</c>
      <c r="K20" s="6" t="s">
        <v>57</v>
      </c>
      <c r="L20" s="6" cm="1" t="str">
        <f t="array" ref="L20">IF(C20="","",IF(K20="Mort / Plus rien à faire","KO","OK"))</f>
        <v>OK</v>
      </c>
      <c r="M20" s="12">
        <v>46170.487916666665</v>
      </c>
      <c r="N20" s="12" cm="1" t="n">
        <f t="array" ref="N20">IF(OR(C20="",M20="",M20=0),"",M20)</f>
        <v>46170.487916666665</v>
      </c>
      <c r="O20" s="12">
</c>
      <c r="P20" s="12" cm="1" t="str">
        <f t="array" ref="P20">IF(C20="","",IF(OR(O20="",O20=0),"-",O20))</f>
        <v>-</v>
      </c>
      <c r="Q20" s="13">
        <v>0</v>
      </c>
      <c r="R20" s="9" cm="1" t="str">
        <f t="array" ref="R20">IF(C20="","",ROUND(Q20/1000000,3)&amp;" M€")</f>
        <v>0 M€</v>
      </c>
      <c r="S20" s="9" t="s">
        <v>53</v>
      </c>
      <c r="T20" s="9" cm="1" t="str">
        <f t="array" ref="T20">IF(C20="","",SUBSTITUTE(S20,"","")&amp;"%")</f>
        <v>10%</v>
      </c>
      <c r="U20" s="11" cm="1" t="str">
        <f t="array" ref="U20">IF(($N20="")*($P20=""),"",IF(($N20&lt;&gt;"")*($N20&gt;TODAY()-9)*($N20&lt;TODAY()+1)*($P20&lt;&gt;"")*($P20&gt;=TODAY())*($P20&lt;=TODAY()+13),"Semaine passée &amp; à venir",IF(($N20&lt;&gt;"")*($N20&gt;TODAY()-9)*($N20&lt;TODAY()+1),"Semaine passée",IF(($P20&lt;&gt;"")*($P20&gt;=TODAY())*($P20&lt;=TODAY()+13),"À venir","Autre"))))</f>
        <v>Semaine passée</v>
      </c>
      <c r="V20" s="5" cm="1" t="n">
        <f t="array" ref="V20">IF(C20&lt;&gt;"",1,0)</f>
        <v>1</v>
      </c>
      <c r="W20" s="5">
</c>
      <c r="X20" s="5">
</c>
      <c r="Y20" s="5">
</c>
      <c r="Z20" s="5">
</c>
      <c r="AA20" s="5">
</c>
      <c r="AB20" s="5">
</c>
      <c r="AC20" s="5">
</c>
      <c r="AD20" s="5">
</c>
      <c r="AE20" s="5">
</c>
      <c r="AF20" s="5">
</c>
      <c r="AG20" s="5">
</c>
      <c r="AH20" s="5">
</c>
      <c r="AI20" s="5">
</c>
      <c r="AJ20" s="5">
</c>
    </row>
    <row r="21" ht="81" customHeight="1">
      <c r="A21" s="6" t="s">
        <v>23</v>
      </c>
      <c r="B21" s="6" t="s">
        <v>31</v>
      </c>
      <c r="C21" s="9" t="s">
        <v>98</v>
      </c>
      <c r="D21" s="9" t="s">
        <v>99</v>
      </c>
      <c r="E21" s="6" t="s">
        <v>34</v>
      </c>
      <c r="F21" s="5" t="s">
        <v>100</v>
      </c>
      <c r="G21" s="10" cm="1" t="str">
        <f t="array" ref="G21">IF(F21="","",SUBSTITUTE(SUBSTITUTE(SUBSTITUTE(SUBSTITUTE(F21,"&lt;li&gt;",CHAR(10)),"&lt;/li&gt;",""),"&lt;br&gt;",CHAR(10)),"&lt;strong&gt;",""))</f>
        <v>&lt;p&gt;28/04 : Présentation focus deeptech/climat, contact transmis à Kelley pour évaluation thématique, attente retour. 28/05 : Relance envoyée, prospect demande avancement levée et calendrier des fonds, indique réouverture opportunités en 2027. Pas d'autres actions prévues à ce stade.&lt;/p&gt;</v>
      </c>
      <c r="H21" s="10" cm="1" t="str">
        <f t="array" ref="H21">IF(G21="","",SUBSTITUTE(SUBSTITUTE(SUBSTITUTE(SUBSTITUTE(SUBSTITUTE(G21,"&lt;p&gt;",""),"&lt;/p&gt;",""),"&lt;ul&gt;",""),"&lt;/ul&gt;",""),"&lt;/strong&gt;",""))</f>
        <v>28/04 : Présentation focus deeptech/climat, contact transmis à Kelley pour évaluation thématique, attente retour. 28/05 : Relance envoyée, prospect demande avancement levée et calendrier des fonds, indique réouverture opportunités en 2027. Pas d'autres actions prévues à ce stade.</v>
      </c>
      <c r="I21" s="11" cm="1" t="str">
        <f t="array" ref="I21">IF(C21="","",IF(OR(H21="",H21=0,H21=FALSE),"-",H21))</f>
        <v>28/04 : Présentation focus deeptech/climat, contact transmis à Kelley pour évaluation thématique, attente retour. 28/05 : Relance envoyée, prospect demande avancement levée et calendrier des fonds, indique réouverture opportunités en 2027. Pas d'autres actions prévues à ce stade.</v>
      </c>
      <c r="J21" s="5">
</c>
      <c r="K21" s="6" t="s">
        <v>57</v>
      </c>
      <c r="L21" s="6" cm="1" t="str">
        <f t="array" ref="L21">IF(C21="","",IF(K21="Mort / Plus rien à faire","KO","OK"))</f>
        <v>OK</v>
      </c>
      <c r="M21" s="12">
        <v>46170.584340277775</v>
      </c>
      <c r="N21" s="12" cm="1" t="n">
        <f t="array" ref="N21">IF(OR(C21="",M21="",M21=0),"",M21)</f>
        <v>46170.584340277775</v>
      </c>
      <c r="O21" s="12">
</c>
      <c r="P21" s="12" cm="1" t="str">
        <f t="array" ref="P21">IF(C21="","",IF(OR(O21="",O21=0),"-",O21))</f>
        <v>-</v>
      </c>
      <c r="Q21" s="13">
        <v>0</v>
      </c>
      <c r="R21" s="9" cm="1" t="str">
        <f t="array" ref="R21">IF(C21="","",ROUND(Q21/1000000,3)&amp;" M€")</f>
        <v>0 M€</v>
      </c>
      <c r="S21" s="9" t="s">
        <v>53</v>
      </c>
      <c r="T21" s="9" cm="1" t="str">
        <f t="array" ref="T21">IF(C21="","",SUBSTITUTE(S21,"","")&amp;"%")</f>
        <v>10%</v>
      </c>
      <c r="U21" s="11" cm="1" t="str">
        <f t="array" ref="U21">IF(($N21="")*($P21=""),"",IF(($N21&lt;&gt;"")*($N21&gt;TODAY()-9)*($N21&lt;TODAY()+1)*($P21&lt;&gt;"")*($P21&gt;=TODAY())*($P21&lt;=TODAY()+13),"Semaine passée &amp; à venir",IF(($N21&lt;&gt;"")*($N21&gt;TODAY()-9)*($N21&lt;TODAY()+1),"Semaine passée",IF(($P21&lt;&gt;"")*($P21&gt;=TODAY())*($P21&lt;=TODAY()+13),"À venir","Autre"))))</f>
        <v>Semaine passée</v>
      </c>
      <c r="V21" s="5" cm="1" t="n">
        <f t="array" ref="V21">IF(C21&lt;&gt;"",1,0)</f>
        <v>1</v>
      </c>
      <c r="W21" s="5">
</c>
      <c r="X21" s="5">
</c>
      <c r="Y21" s="5">
</c>
      <c r="Z21" s="5">
</c>
      <c r="AA21" s="5">
</c>
      <c r="AB21" s="5">
</c>
      <c r="AC21" s="5">
</c>
      <c r="AD21" s="5">
</c>
      <c r="AE21" s="5">
</c>
      <c r="AF21" s="5">
</c>
      <c r="AG21" s="5">
</c>
      <c r="AH21" s="5">
</c>
      <c r="AI21" s="5">
</c>
      <c r="AJ21" s="5">
</c>
    </row>
    <row r="22" ht="81" customHeight="1">
      <c r="A22" s="6" t="s">
        <v>23</v>
      </c>
      <c r="B22" s="6" t="s">
        <v>101</v>
      </c>
      <c r="C22" s="9" t="s">
        <v>102</v>
      </c>
      <c r="D22" s="9" t="s">
        <v>102</v>
      </c>
      <c r="E22" s="6" t="s">
        <v>27</v>
      </c>
      <c r="F22" s="5" t="s">
        <v>103</v>
      </c>
      <c r="G22" s="10" cm="1" t="str">
        <f t="array" ref="G22">IF(F22="","",SUBSTITUTE(SUBSTITUTE(SUBSTITUTE(SUBSTITUTE(F22,"&lt;li&gt;",CHAR(10)),"&lt;/li&gt;",""),"&lt;br&gt;",CHAR(10)),"&lt;strong&gt;",""))</f>
        <v>&lt;p&gt;Contact initié sur recommandation de Charles Beigbeder, intérêt exprimé pour fonds VC deeptech (Newspace, Nouveau nucléaire). Mail envoyé pour proposer une rencontre et partager des éléments. Pas de retour ni d'activité ultérieure enregistrée. Prochaine étape : attendre réponse du prospect.&lt;/p&gt;</v>
      </c>
      <c r="H22" s="10" cm="1" t="str">
        <f t="array" ref="H22">IF(G22="","",SUBSTITUTE(SUBSTITUTE(SUBSTITUTE(SUBSTITUTE(SUBSTITUTE(G22,"&lt;p&gt;",""),"&lt;/p&gt;",""),"&lt;ul&gt;",""),"&lt;/ul&gt;",""),"&lt;/strong&gt;",""))</f>
        <v>Contact initié sur recommandation de Charles Beigbeder, intérêt exprimé pour fonds VC deeptech (Newspace, Nouveau nucléaire). Mail envoyé pour proposer une rencontre et partager des éléments. Pas de retour ni d'activité ultérieure enregistrée. Prochaine étape : attendre réponse du prospect.</v>
      </c>
      <c r="I22" s="11" cm="1" t="str">
        <f t="array" ref="I22">IF(C22="","",IF(OR(H22="",H22=0,H22=FALSE),"-",H22))</f>
        <v>Contact initié sur recommandation de Charles Beigbeder, intérêt exprimé pour fonds VC deeptech (Newspace, Nouveau nucléaire). Mail envoyé pour proposer une rencontre et partager des éléments. Pas de retour ni d'activité ultérieure enregistrée. Prochaine étape : attendre réponse du prospect.</v>
      </c>
      <c r="J22" s="5">
</c>
      <c r="K22" s="6" t="s">
        <v>57</v>
      </c>
      <c r="L22" s="6" cm="1" t="str">
        <f t="array" ref="L22">IF(C22="","",IF(K22="Mort / Plus rien à faire","KO","OK"))</f>
        <v>OK</v>
      </c>
      <c r="M22" s="12">
        <v>46142.71605324074</v>
      </c>
      <c r="N22" s="12" cm="1" t="n">
        <f t="array" ref="N22">IF(OR(C22="",M22="",M22=0),"",M22)</f>
        <v>46142.71605324074</v>
      </c>
      <c r="O22" s="12">
</c>
      <c r="P22" s="12" cm="1" t="str">
        <f t="array" ref="P22">IF(C22="","",IF(OR(O22="",O22=0),"-",O22))</f>
        <v>-</v>
      </c>
      <c r="Q22" s="13">
        <v>0</v>
      </c>
      <c r="R22" s="9" cm="1" t="str">
        <f t="array" ref="R22">IF(C22="","",ROUND(Q22/1000000,3)&amp;" M€")</f>
        <v>0 M€</v>
      </c>
      <c r="S22" s="9" t="s">
        <v>53</v>
      </c>
      <c r="T22" s="9" cm="1" t="str">
        <f t="array" ref="T22">IF(C22="","",SUBSTITUTE(S22,"","")&amp;"%")</f>
        <v>10%</v>
      </c>
      <c r="U22" s="11" cm="1" t="str">
        <f t="array" ref="U22">IF(($N22="")*($P22=""),"",IF(($N22&lt;&gt;"")*($N22&gt;TODAY()-9)*($N22&lt;TODAY()+1)*($P22&lt;&gt;"")*($P22&gt;=TODAY())*($P22&lt;=TODAY()+13),"Semaine passée &amp; à venir",IF(($N22&lt;&gt;"")*($N22&gt;TODAY()-9)*($N22&lt;TODAY()+1),"Semaine passée",IF(($P22&lt;&gt;"")*($P22&gt;=TODAY())*($P22&lt;=TODAY()+13),"À venir","Autre"))))</f>
        <v>Autre</v>
      </c>
      <c r="V22" s="5" cm="1" t="n">
        <f t="array" ref="V22">IF(C22&lt;&gt;"",1,0)</f>
        <v>1</v>
      </c>
      <c r="W22" s="5">
</c>
      <c r="X22" s="5">
</c>
      <c r="Y22" s="5">
</c>
      <c r="Z22" s="5">
</c>
      <c r="AA22" s="5">
</c>
      <c r="AB22" s="5">
</c>
      <c r="AC22" s="5">
</c>
      <c r="AD22" s="5">
</c>
      <c r="AE22" s="5">
</c>
      <c r="AF22" s="5">
</c>
      <c r="AG22" s="5">
</c>
      <c r="AH22" s="5">
</c>
      <c r="AI22" s="5">
</c>
      <c r="AJ22" s="5">
</c>
    </row>
    <row r="23" ht="81" customHeight="1">
      <c r="A23" s="6" t="s">
        <v>23</v>
      </c>
      <c r="B23" s="6" t="s">
        <v>101</v>
      </c>
      <c r="C23" s="9" t="s">
        <v>104</v>
      </c>
      <c r="D23" s="9" t="s">
        <v>104</v>
      </c>
      <c r="E23" s="6" t="s">
        <v>27</v>
      </c>
      <c r="F23" s="5" t="s">
        <v>105</v>
      </c>
      <c r="G23" s="10" cm="1" t="str">
        <f t="array" ref="G23">IF(F23="","",SUBSTITUTE(SUBSTITUTE(SUBSTITUTE(SUBSTITUTE(F23,"&lt;li&gt;",CHAR(10)),"&lt;/li&gt;",""),"&lt;br&gt;",CHAR(10)),"&lt;strong&gt;",""))</f>
        <v>&lt;p data-oe-version="2.0"&gt;Piste créée pour équipe Ventes sur recommandation CB. Premier contact par mail, intérêt identifié pour fonds VC deeptech, focus Newspace et Nouveau nucléaire. Proposition de rencontre envoyée, attente retour prospect. Pas d'autres actions ou retours à ce stade.&lt;/p&gt;</v>
      </c>
      <c r="H23" s="10" cm="1" t="str">
        <f t="array" ref="H23">IF(G23="","",SUBSTITUTE(SUBSTITUTE(SUBSTITUTE(SUBSTITUTE(SUBSTITUTE(G23,"&lt;p&gt;",""),"&lt;/p&gt;",""),"&lt;ul&gt;",""),"&lt;/ul&gt;",""),"&lt;/strong&gt;",""))</f>
        <v>&lt;p data-oe-version="2.0"&gt;Piste créée pour équipe Ventes sur recommandation CB. Premier contact par mail, intérêt identifié pour fonds VC deeptech, focus Newspace et Nouveau nucléaire. Proposition de rencontre envoyée, attente retour prospect. Pas d'autres actions ou retours à ce stade.</v>
      </c>
      <c r="I23" s="11" cm="1" t="str">
        <f t="array" ref="I23">IF(C23="","",IF(OR(H23="",H23=0,H23=FALSE),"-",H23))</f>
        <v>&lt;p data-oe-version="2.0"&gt;Piste créée pour équipe Ventes sur recommandation CB. Premier contact par mail, intérêt identifié pour fonds VC deeptech, focus Newspace et Nouveau nucléaire. Proposition de rencontre envoyée, attente retour prospect. Pas d'autres actions ou retours à ce stade.</v>
      </c>
      <c r="J23" s="5">
</c>
      <c r="K23" s="6" t="s">
        <v>57</v>
      </c>
      <c r="L23" s="6" cm="1" t="str">
        <f t="array" ref="L23">IF(C23="","",IF(K23="Mort / Plus rien à faire","KO","OK"))</f>
        <v>OK</v>
      </c>
      <c r="M23" s="12">
        <v>46142.70269675926</v>
      </c>
      <c r="N23" s="12" cm="1" t="n">
        <f t="array" ref="N23">IF(OR(C23="",M23="",M23=0),"",M23)</f>
        <v>46142.70269675926</v>
      </c>
      <c r="O23" s="12">
</c>
      <c r="P23" s="12" cm="1" t="str">
        <f t="array" ref="P23">IF(C23="","",IF(OR(O23="",O23=0),"-",O23))</f>
        <v>-</v>
      </c>
      <c r="Q23" s="13">
        <v>0</v>
      </c>
      <c r="R23" s="9" cm="1" t="str">
        <f t="array" ref="R23">IF(C23="","",ROUND(Q23/1000000,3)&amp;" M€")</f>
        <v>0 M€</v>
      </c>
      <c r="S23" s="9" t="s">
        <v>53</v>
      </c>
      <c r="T23" s="9" cm="1" t="str">
        <f t="array" ref="T23">IF(C23="","",SUBSTITUTE(S23,"","")&amp;"%")</f>
        <v>10%</v>
      </c>
      <c r="U23" s="11" cm="1" t="str">
        <f t="array" ref="U23">IF(($N23="")*($P23=""),"",IF(($N23&lt;&gt;"")*($N23&gt;TODAY()-9)*($N23&lt;TODAY()+1)*($P23&lt;&gt;"")*($P23&gt;=TODAY())*($P23&lt;=TODAY()+13),"Semaine passée &amp; à venir",IF(($N23&lt;&gt;"")*($N23&gt;TODAY()-9)*($N23&lt;TODAY()+1),"Semaine passée",IF(($P23&lt;&gt;"")*($P23&gt;=TODAY())*($P23&lt;=TODAY()+13),"À venir","Autre"))))</f>
        <v>Autre</v>
      </c>
      <c r="V23" s="5" cm="1" t="n">
        <f t="array" ref="V23">IF(C23&lt;&gt;"",1,0)</f>
        <v>1</v>
      </c>
      <c r="W23" s="5">
</c>
      <c r="X23" s="5">
</c>
      <c r="Y23" s="5">
</c>
      <c r="Z23" s="5">
</c>
      <c r="AA23" s="5">
</c>
      <c r="AB23" s="5">
</c>
      <c r="AC23" s="5">
</c>
      <c r="AD23" s="5">
</c>
      <c r="AE23" s="5">
</c>
      <c r="AF23" s="5">
</c>
      <c r="AG23" s="5">
</c>
      <c r="AH23" s="5">
</c>
      <c r="AI23" s="5">
</c>
      <c r="AJ23" s="5">
</c>
    </row>
    <row r="24" ht="81" customHeight="1">
      <c r="A24" s="6" t="s">
        <v>23</v>
      </c>
      <c r="B24" s="6" t="s">
        <v>101</v>
      </c>
      <c r="C24" s="9" t="s">
        <v>102</v>
      </c>
      <c r="D24" s="9" t="s">
        <v>102</v>
      </c>
      <c r="E24" s="6" t="s">
        <v>27</v>
      </c>
      <c r="F24" s="5" t="s">
        <v>106</v>
      </c>
      <c r="G24" s="10" cm="1" t="str">
        <f t="array" ref="G24">IF(F24="","",SUBSTITUTE(SUBSTITUTE(SUBSTITUTE(SUBSTITUTE(F24,"&lt;li&gt;",CHAR(10)),"&lt;/li&gt;",""),"&lt;br&gt;",CHAR(10)),"&lt;strong&gt;",""))</f>
        <v>&lt;p data-oe-version="2.0"&gt;Contact initié sur recommandation CB. Intérêt exprimé pour fonds VC deeptech, focus Newspace et Nouveau nucléaire. Proposition de rencontre envoyée, attente retour prospect pour fixer échange. Pas d'autres actions ou retours prospect enregistrés à ce stade.&lt;/p&gt;</v>
      </c>
      <c r="H24" s="10" cm="1" t="str">
        <f t="array" ref="H24">IF(G24="","",SUBSTITUTE(SUBSTITUTE(SUBSTITUTE(SUBSTITUTE(SUBSTITUTE(G24,"&lt;p&gt;",""),"&lt;/p&gt;",""),"&lt;ul&gt;",""),"&lt;/ul&gt;",""),"&lt;/strong&gt;",""))</f>
        <v>&lt;p data-oe-version="2.0"&gt;Contact initié sur recommandation CB. Intérêt exprimé pour fonds VC deeptech, focus Newspace et Nouveau nucléaire. Proposition de rencontre envoyée, attente retour prospect pour fixer échange. Pas d'autres actions ou retours prospect enregistrés à ce stade.</v>
      </c>
      <c r="I24" s="11" cm="1" t="str">
        <f t="array" ref="I24">IF(C24="","",IF(OR(H24="",H24=0,H24=FALSE),"-",H24))</f>
        <v>&lt;p data-oe-version="2.0"&gt;Contact initié sur recommandation CB. Intérêt exprimé pour fonds VC deeptech, focus Newspace et Nouveau nucléaire. Proposition de rencontre envoyée, attente retour prospect pour fixer échange. Pas d'autres actions ou retours prospect enregistrés à ce stade.</v>
      </c>
      <c r="J24" s="5">
</c>
      <c r="K24" s="6" t="s">
        <v>57</v>
      </c>
      <c r="L24" s="6" cm="1" t="str">
        <f t="array" ref="L24">IF(C24="","",IF(K24="Mort / Plus rien à faire","KO","OK"))</f>
        <v>OK</v>
      </c>
      <c r="M24" s="12">
        <v>46146.704884259256</v>
      </c>
      <c r="N24" s="12" cm="1" t="n">
        <f t="array" ref="N24">IF(OR(C24="",M24="",M24=0),"",M24)</f>
        <v>46146.704884259256</v>
      </c>
      <c r="O24" s="12">
</c>
      <c r="P24" s="12" cm="1" t="str">
        <f t="array" ref="P24">IF(C24="","",IF(OR(O24="",O24=0),"-",O24))</f>
        <v>-</v>
      </c>
      <c r="Q24" s="13">
        <v>0</v>
      </c>
      <c r="R24" s="9" cm="1" t="str">
        <f t="array" ref="R24">IF(C24="","",ROUND(Q24/1000000,3)&amp;" M€")</f>
        <v>0 M€</v>
      </c>
      <c r="S24" s="9" t="s">
        <v>53</v>
      </c>
      <c r="T24" s="9" cm="1" t="str">
        <f t="array" ref="T24">IF(C24="","",SUBSTITUTE(S24,"","")&amp;"%")</f>
        <v>10%</v>
      </c>
      <c r="U24" s="11" cm="1" t="str">
        <f t="array" ref="U24">IF(($N24="")*($P24=""),"",IF(($N24&lt;&gt;"")*($N24&gt;TODAY()-9)*($N24&lt;TODAY()+1)*($P24&lt;&gt;"")*($P24&gt;=TODAY())*($P24&lt;=TODAY()+13),"Semaine passée &amp; à venir",IF(($N24&lt;&gt;"")*($N24&gt;TODAY()-9)*($N24&lt;TODAY()+1),"Semaine passée",IF(($P24&lt;&gt;"")*($P24&gt;=TODAY())*($P24&lt;=TODAY()+13),"À venir","Autre"))))</f>
        <v>Autre</v>
      </c>
      <c r="V24" s="5" cm="1" t="n">
        <f t="array" ref="V24">IF(C24&lt;&gt;"",1,0)</f>
        <v>1</v>
      </c>
      <c r="W24" s="5">
</c>
      <c r="X24" s="5">
</c>
      <c r="Y24" s="5">
</c>
      <c r="Z24" s="5">
</c>
      <c r="AA24" s="5">
</c>
      <c r="AB24" s="5">
</c>
      <c r="AC24" s="5">
</c>
      <c r="AD24" s="5">
</c>
      <c r="AE24" s="5">
</c>
      <c r="AF24" s="5">
</c>
      <c r="AG24" s="5">
</c>
      <c r="AH24" s="5">
</c>
      <c r="AI24" s="5">
</c>
      <c r="AJ24" s="5">
</c>
    </row>
    <row r="25" ht="81" customHeight="1">
      <c r="A25" s="6" t="s">
        <v>23</v>
      </c>
      <c r="B25" s="6">
</c>
      <c r="C25" s="9" t="s">
        <v>107</v>
      </c>
      <c r="D25" s="9" t="s">
        <v>108</v>
      </c>
      <c r="E25" s="6" t="s">
        <v>27</v>
      </c>
      <c r="F25" s="5" t="s">
        <v>109</v>
      </c>
      <c r="G25" s="10" cm="1" t="str">
        <f t="array" ref="G25">IF(F25="","",SUBSTITUTE(SUBSTITUTE(SUBSTITUTE(SUBSTITUTE(F25,"&lt;li&gt;",CHAR(10)),"&lt;/li&gt;",""),"&lt;br&gt;",CHAR(10)),"&lt;strong&gt;",""))</f>
        <v>&lt;p&gt;Nouvelle piste créée pour équipe Ventes par Romain Andrieu. Aucun échange, activité ou suivi enregistré à ce jour. Pas d'informations sur le contexte de création, pas de retour prospect, aucune action ou prochaine étape planifiée actuellement.&lt;/p&gt;</v>
      </c>
      <c r="H25" s="10" cm="1" t="str">
        <f t="array" ref="H25">IF(G25="","",SUBSTITUTE(SUBSTITUTE(SUBSTITUTE(SUBSTITUTE(SUBSTITUTE(G25,"&lt;p&gt;",""),"&lt;/p&gt;",""),"&lt;ul&gt;",""),"&lt;/ul&gt;",""),"&lt;/strong&gt;",""))</f>
        <v>Nouvelle piste créée pour équipe Ventes par Romain Andrieu. Aucun échange, activité ou suivi enregistré à ce jour. Pas d'informations sur le contexte de création, pas de retour prospect, aucune action ou prochaine étape planifiée actuellement.</v>
      </c>
      <c r="I25" s="11" cm="1" t="str">
        <f t="array" ref="I25">IF(C25="","",IF(OR(H25="",H25=0,H25=FALSE),"-",H25))</f>
        <v>Nouvelle piste créée pour équipe Ventes par Romain Andrieu. Aucun échange, activité ou suivi enregistré à ce jour. Pas d'informations sur le contexte de création, pas de retour prospect, aucune action ou prochaine étape planifiée actuellement.</v>
      </c>
      <c r="J25" s="5">
</c>
      <c r="K25" s="6" t="s">
        <v>57</v>
      </c>
      <c r="L25" s="6" cm="1" t="str">
        <f t="array" ref="L25">IF(C25="","",IF(K25="Mort / Plus rien à faire","KO","OK"))</f>
        <v>OK</v>
      </c>
      <c r="M25" s="12">
        <v>46148.73604166666</v>
      </c>
      <c r="N25" s="12" cm="1" t="n">
        <f t="array" ref="N25">IF(OR(C25="",M25="",M25=0),"",M25)</f>
        <v>46148.73604166666</v>
      </c>
      <c r="O25" s="12">
</c>
      <c r="P25" s="12" cm="1" t="str">
        <f t="array" ref="P25">IF(C25="","",IF(OR(O25="",O25=0),"-",O25))</f>
        <v>-</v>
      </c>
      <c r="Q25" s="13">
        <v>0</v>
      </c>
      <c r="R25" s="9" cm="1" t="str">
        <f t="array" ref="R25">IF(C25="","",ROUND(Q25/1000000,3)&amp;" M€")</f>
        <v>0 M€</v>
      </c>
      <c r="S25" s="9" t="s">
        <v>53</v>
      </c>
      <c r="T25" s="9" cm="1" t="str">
        <f t="array" ref="T25">IF(C25="","",SUBSTITUTE(S25,"","")&amp;"%")</f>
        <v>10%</v>
      </c>
      <c r="U25" s="11" cm="1" t="str">
        <f t="array" ref="U25">IF(($N25="")*($P25=""),"",IF(($N25&lt;&gt;"")*($N25&gt;TODAY()-9)*($N25&lt;TODAY()+1)*($P25&lt;&gt;"")*($P25&gt;=TODAY())*($P25&lt;=TODAY()+13),"Semaine passée &amp; à venir",IF(($N25&lt;&gt;"")*($N25&gt;TODAY()-9)*($N25&lt;TODAY()+1),"Semaine passée",IF(($P25&lt;&gt;"")*($P25&gt;=TODAY())*($P25&lt;=TODAY()+13),"À venir","Autre"))))</f>
        <v>Autre</v>
      </c>
      <c r="V25" s="5" cm="1" t="n">
        <f t="array" ref="V25">IF(C25&lt;&gt;"",1,0)</f>
        <v>1</v>
      </c>
      <c r="W25" s="5">
</c>
      <c r="X25" s="5">
</c>
      <c r="Y25" s="5">
</c>
      <c r="Z25" s="5">
</c>
      <c r="AA25" s="5">
</c>
      <c r="AB25" s="5">
</c>
      <c r="AC25" s="5">
</c>
      <c r="AD25" s="5">
</c>
      <c r="AE25" s="5">
</c>
      <c r="AF25" s="5">
</c>
      <c r="AG25" s="5">
</c>
      <c r="AH25" s="5">
</c>
      <c r="AI25" s="5">
</c>
      <c r="AJ25" s="5">
</c>
    </row>
    <row r="26" ht="81" customHeight="1">
      <c r="A26" s="6" t="s">
        <v>23</v>
      </c>
      <c r="B26" s="6" t="s">
        <v>49</v>
      </c>
      <c r="C26" s="9" t="s">
        <v>110</v>
      </c>
      <c r="D26" s="9" t="s">
        <v>111</v>
      </c>
      <c r="E26" s="6" t="s">
        <v>27</v>
      </c>
      <c r="F26" s="5" t="s">
        <v>112</v>
      </c>
      <c r="G26" s="10" cm="1" t="str">
        <f t="array" ref="G26">IF(F26="","",SUBSTITUTE(SUBSTITUTE(SUBSTITUTE(SUBSTITUTE(F26,"&lt;li&gt;",CHAR(10)),"&lt;/li&gt;",""),"&lt;br&gt;",CHAR(10)),"&lt;strong&gt;",""))</f>
        <v>&lt;p&gt;Piste créée pour équipe Ventes. Discussions en lien avec Covea sur Entroview/GIE entretien batterie électrique. Retour négatif sur COVEA, Mapfre probablement aussi. Aucune activité ou action récente, pas de prochaine étape identifiée. Pas d'intérêt manifeste des prospects pour les fonds présentés.&lt;/p&gt;</v>
      </c>
      <c r="H26" s="10" cm="1" t="str">
        <f t="array" ref="H26">IF(G26="","",SUBSTITUTE(SUBSTITUTE(SUBSTITUTE(SUBSTITUTE(SUBSTITUTE(G26,"&lt;p&gt;",""),"&lt;/p&gt;",""),"&lt;ul&gt;",""),"&lt;/ul&gt;",""),"&lt;/strong&gt;",""))</f>
        <v>Piste créée pour équipe Ventes. Discussions en lien avec Covea sur Entroview/GIE entretien batterie électrique. Retour négatif sur COVEA, Mapfre probablement aussi. Aucune activité ou action récente, pas de prochaine étape identifiée. Pas d'intérêt manifeste des prospects pour les fonds présentés.</v>
      </c>
      <c r="I26" s="11" cm="1" t="str">
        <f t="array" ref="I26">IF(C26="","",IF(OR(H26="",H26=0,H26=FALSE),"-",H26))</f>
        <v>Piste créée pour équipe Ventes. Discussions en lien avec Covea sur Entroview/GIE entretien batterie électrique. Retour négatif sur COVEA, Mapfre probablement aussi. Aucune activité ou action récente, pas de prochaine étape identifiée. Pas d'intérêt manifeste des prospects pour les fonds présentés.</v>
      </c>
      <c r="J26" s="5" t="s">
        <v>113</v>
      </c>
      <c r="K26" s="6" t="s">
        <v>78</v>
      </c>
      <c r="L26" s="6" cm="1" t="str">
        <f t="array" ref="L26">IF(C26="","",IF(K26="Mort / Plus rien à faire","KO","OK"))</f>
        <v>OK</v>
      </c>
      <c r="M26" s="12">
        <v>46149.72603009259</v>
      </c>
      <c r="N26" s="12" cm="1" t="n">
        <f t="array" ref="N26">IF(OR(C26="",M26="",M26=0),"",M26)</f>
        <v>46149.72603009259</v>
      </c>
      <c r="O26" s="12">
        <v>46391.041666666664</v>
      </c>
      <c r="P26" s="12" cm="1" t="n">
        <f t="array" ref="P26">IF(C26="","",IF(OR(O26="",O26=0),"-",O26))</f>
        <v>46391.041666666664</v>
      </c>
      <c r="Q26" s="13">
        <v>0</v>
      </c>
      <c r="R26" s="9" cm="1" t="str">
        <f t="array" ref="R26">IF(C26="","",ROUND(Q26/1000000,3)&amp;" M€")</f>
        <v>0 M€</v>
      </c>
      <c r="S26" s="9" t="s">
        <v>53</v>
      </c>
      <c r="T26" s="9" cm="1" t="str">
        <f t="array" ref="T26">IF(C26="","",SUBSTITUTE(S26,"","")&amp;"%")</f>
        <v>10%</v>
      </c>
      <c r="U26" s="11" cm="1" t="str">
        <f t="array" ref="U26">IF(($N26="")*($P26=""),"",IF(($N26&lt;&gt;"")*($N26&gt;TODAY()-9)*($N26&lt;TODAY()+1)*($P26&lt;&gt;"")*($P26&gt;=TODAY())*($P26&lt;=TODAY()+13),"Semaine passée &amp; à venir",IF(($N26&lt;&gt;"")*($N26&gt;TODAY()-9)*($N26&lt;TODAY()+1),"Semaine passée",IF(($P26&lt;&gt;"")*($P26&gt;=TODAY())*($P26&lt;=TODAY()+13),"À venir","Autre"))))</f>
        <v>Autre</v>
      </c>
      <c r="V26" s="5" cm="1" t="n">
        <f t="array" ref="V26">IF(C26&lt;&gt;"",1,0)</f>
        <v>1</v>
      </c>
      <c r="W26" s="5">
</c>
      <c r="X26" s="5">
</c>
      <c r="Y26" s="5">
</c>
      <c r="Z26" s="5">
</c>
      <c r="AA26" s="5">
</c>
      <c r="AB26" s="5">
</c>
      <c r="AC26" s="5">
</c>
      <c r="AD26" s="5">
</c>
      <c r="AE26" s="5">
</c>
      <c r="AF26" s="5">
</c>
      <c r="AG26" s="5">
</c>
      <c r="AH26" s="5">
</c>
      <c r="AI26" s="5">
</c>
      <c r="AJ26" s="5">
</c>
    </row>
    <row r="27" ht="81" customHeight="1">
      <c r="A27" s="6" t="s">
        <v>23</v>
      </c>
      <c r="B27" s="6" t="s">
        <v>114</v>
      </c>
      <c r="C27" s="9" t="s">
        <v>115</v>
      </c>
      <c r="D27" s="9" t="s">
        <v>116</v>
      </c>
      <c r="E27" s="6" t="s">
        <v>27</v>
      </c>
      <c r="F27" s="5" t="s">
        <v>117</v>
      </c>
      <c r="G27" s="10" cm="1" t="str">
        <f t="array" ref="G27">IF(F27="","",SUBSTITUTE(SUBSTITUTE(SUBSTITUTE(SUBSTITUTE(F27,"&lt;li&gt;",CHAR(10)),"&lt;/li&gt;",""),"&lt;br&gt;",CHAR(10)),"&lt;strong&gt;",""))</f>
        <v>&lt;p&gt;RDV 10/04 présentation VC Energie/Procession. 07/05 supports envoyés sur Exergon (nucléaire/stockage), Calderion (hydrogène/nouveaux fuels), Quantonation (fonds 2 clôturé). Mise en relation avec Christian Contzen. Intérêt Charles pour recevoir Energy Tech Circle au 30 av. Kleber. Prochaines étapes : organiser rencontre.&lt;/p&gt;</v>
      </c>
      <c r="H27" s="10" cm="1" t="str">
        <f t="array" ref="H27">IF(G27="","",SUBSTITUTE(SUBSTITUTE(SUBSTITUTE(SUBSTITUTE(SUBSTITUTE(G27,"&lt;p&gt;",""),"&lt;/p&gt;",""),"&lt;ul&gt;",""),"&lt;/ul&gt;",""),"&lt;/strong&gt;",""))</f>
        <v>RDV 10/04 présentation VC Energie/Procession. 07/05 supports envoyés sur Exergon (nucléaire/stockage), Calderion (hydrogène/nouveaux fuels), Quantonation (fonds 2 clôturé). Mise en relation avec Christian Contzen. Intérêt Charles pour recevoir Energy Tech Circle au 30 av. Kleber. Prochaines étapes : organiser rencontre.</v>
      </c>
      <c r="I27" s="11" cm="1" t="str">
        <f t="array" ref="I27">IF(C27="","",IF(OR(H27="",H27=0,H27=FALSE),"-",H27))</f>
        <v>RDV 10/04 présentation VC Energie/Procession. 07/05 supports envoyés sur Exergon (nucléaire/stockage), Calderion (hydrogène/nouveaux fuels), Quantonation (fonds 2 clôturé). Mise en relation avec Christian Contzen. Intérêt Charles pour recevoir Energy Tech Circle au 30 av. Kleber. Prochaines étapes : organiser rencontre.</v>
      </c>
      <c r="J27" s="5" t="s">
        <v>118</v>
      </c>
      <c r="K27" s="6" t="s">
        <v>57</v>
      </c>
      <c r="L27" s="6" cm="1" t="str">
        <f t="array" ref="L27">IF(C27="","",IF(K27="Mort / Plus rien à faire","KO","OK"))</f>
        <v>OK</v>
      </c>
      <c r="M27" s="12">
        <v>46149.72837962963</v>
      </c>
      <c r="N27" s="12" cm="1" t="n">
        <f t="array" ref="N27">IF(OR(C27="",M27="",M27=0),"",M27)</f>
        <v>46149.72837962963</v>
      </c>
      <c r="O27" s="12">
</c>
      <c r="P27" s="12" cm="1" t="str">
        <f t="array" ref="P27">IF(C27="","",IF(OR(O27="",O27=0),"-",O27))</f>
        <v>-</v>
      </c>
      <c r="Q27" s="13">
        <v>0</v>
      </c>
      <c r="R27" s="9" cm="1" t="str">
        <f t="array" ref="R27">IF(C27="","",ROUND(Q27/1000000,3)&amp;" M€")</f>
        <v>0 M€</v>
      </c>
      <c r="S27" s="9" t="s">
        <v>53</v>
      </c>
      <c r="T27" s="9" cm="1" t="str">
        <f t="array" ref="T27">IF(C27="","",SUBSTITUTE(S27,"","")&amp;"%")</f>
        <v>10%</v>
      </c>
      <c r="U27" s="11" cm="1" t="str">
        <f t="array" ref="U27">IF(($N27="")*($P27=""),"",IF(($N27&lt;&gt;"")*($N27&gt;TODAY()-9)*($N27&lt;TODAY()+1)*($P27&lt;&gt;"")*($P27&gt;=TODAY())*($P27&lt;=TODAY()+13),"Semaine passée &amp; à venir",IF(($N27&lt;&gt;"")*($N27&gt;TODAY()-9)*($N27&lt;TODAY()+1),"Semaine passée",IF(($P27&lt;&gt;"")*($P27&gt;=TODAY())*($P27&lt;=TODAY()+13),"À venir","Autre"))))</f>
        <v>Autre</v>
      </c>
      <c r="V27" s="5" cm="1" t="n">
        <f t="array" ref="V27">IF(C27&lt;&gt;"",1,0)</f>
        <v>1</v>
      </c>
      <c r="W27" s="5">
</c>
      <c r="X27" s="5">
</c>
      <c r="Y27" s="5">
</c>
      <c r="Z27" s="5">
</c>
      <c r="AA27" s="5">
</c>
      <c r="AB27" s="5">
</c>
      <c r="AC27" s="5">
</c>
      <c r="AD27" s="5">
</c>
      <c r="AE27" s="5">
</c>
      <c r="AF27" s="5">
</c>
      <c r="AG27" s="5">
</c>
      <c r="AH27" s="5">
</c>
      <c r="AI27" s="5">
</c>
      <c r="AJ27" s="5">
</c>
    </row>
    <row r="28" ht="81" customHeight="1">
      <c r="A28" s="6" t="s">
        <v>23</v>
      </c>
      <c r="B28" s="6" t="s">
        <v>39</v>
      </c>
      <c r="C28" s="9" t="s">
        <v>119</v>
      </c>
      <c r="D28" s="9" t="s">
        <v>120</v>
      </c>
      <c r="E28" s="6" t="s">
        <v>27</v>
      </c>
      <c r="F28" s="5" t="s">
        <v>121</v>
      </c>
      <c r="G28" s="10" cm="1" t="str">
        <f t="array" ref="G28">IF(F28="","",SUBSTITUTE(SUBSTITUTE(SUBSTITUTE(SUBSTITUTE(F28,"&lt;li&gt;",CHAR(10)),"&lt;/li&gt;",""),"&lt;br&gt;",CHAR(10)),"&lt;strong&gt;",""))</f>
        <v>&lt;p&gt;Interactions avec Otrera (participation), CE Normandie, CEPAC. Otrera implante une usine à Cherbourg, dossier financement en analyse CEPAC/CEN. Mise en relation CEN sur Nouveau Nuc. Discussion possible fonds de fonds CEPAC. Objectif : soutenir Otrera face Crédit Agricole/LCL. Prochaines étapes : suivi financement.&lt;/p&gt;</v>
      </c>
      <c r="H28" s="10" cm="1" t="str">
        <f t="array" ref="H28">IF(G28="","",SUBSTITUTE(SUBSTITUTE(SUBSTITUTE(SUBSTITUTE(SUBSTITUTE(G28,"&lt;p&gt;",""),"&lt;/p&gt;",""),"&lt;ul&gt;",""),"&lt;/ul&gt;",""),"&lt;/strong&gt;",""))</f>
        <v>Interactions avec Otrera (participation), CE Normandie, CEPAC. Otrera implante une usine à Cherbourg, dossier financement en analyse CEPAC/CEN. Mise en relation CEN sur Nouveau Nuc. Discussion possible fonds de fonds CEPAC. Objectif : soutenir Otrera face Crédit Agricole/LCL. Prochaines étapes : suivi financement.</v>
      </c>
      <c r="I28" s="11" cm="1" t="str">
        <f t="array" ref="I28">IF(C28="","",IF(OR(H28="",H28=0,H28=FALSE),"-",H28))</f>
        <v>Interactions avec Otrera (participation), CE Normandie, CEPAC. Otrera implante une usine à Cherbourg, dossier financement en analyse CEPAC/CEN. Mise en relation CEN sur Nouveau Nuc. Discussion possible fonds de fonds CEPAC. Objectif : soutenir Otrera face Crédit Agricole/LCL. Prochaines étapes : suivi financement.</v>
      </c>
      <c r="J28" s="5" t="s">
        <v>122</v>
      </c>
      <c r="K28" s="6" t="s">
        <v>57</v>
      </c>
      <c r="L28" s="6" cm="1" t="str">
        <f t="array" ref="L28">IF(C28="","",IF(K28="Mort / Plus rien à faire","KO","OK"))</f>
        <v>OK</v>
      </c>
      <c r="M28" s="12">
        <v>46160.75716435185</v>
      </c>
      <c r="N28" s="12" cm="1" t="n">
        <f t="array" ref="N28">IF(OR(C28="",M28="",M28=0),"",M28)</f>
        <v>46160.75716435185</v>
      </c>
      <c r="O28" s="12">
</c>
      <c r="P28" s="12" cm="1" t="str">
        <f t="array" ref="P28">IF(C28="","",IF(OR(O28="",O28=0),"-",O28))</f>
        <v>-</v>
      </c>
      <c r="Q28" s="13">
        <v>0</v>
      </c>
      <c r="R28" s="9" cm="1" t="str">
        <f t="array" ref="R28">IF(C28="","",ROUND(Q28/1000000,3)&amp;" M€")</f>
        <v>0 M€</v>
      </c>
      <c r="S28" s="9" t="s">
        <v>53</v>
      </c>
      <c r="T28" s="9" cm="1" t="str">
        <f t="array" ref="T28">IF(C28="","",SUBSTITUTE(S28,"","")&amp;"%")</f>
        <v>10%</v>
      </c>
      <c r="U28" s="11" cm="1" t="str">
        <f t="array" ref="U28">IF(($N28="")*($P28=""),"",IF(($N28&lt;&gt;"")*($N28&gt;TODAY()-9)*($N28&lt;TODAY()+1)*($P28&lt;&gt;"")*($P28&gt;=TODAY())*($P28&lt;=TODAY()+13),"Semaine passée &amp; à venir",IF(($N28&lt;&gt;"")*($N28&gt;TODAY()-9)*($N28&lt;TODAY()+1),"Semaine passée",IF(($P28&lt;&gt;"")*($P28&gt;=TODAY())*($P28&lt;=TODAY()+13),"À venir","Autre"))))</f>
        <v>Autre</v>
      </c>
      <c r="V28" s="5" cm="1" t="n">
        <f t="array" ref="V28">IF(C28&lt;&gt;"",1,0)</f>
        <v>1</v>
      </c>
      <c r="W28" s="5">
</c>
      <c r="X28" s="5">
</c>
      <c r="Y28" s="5">
</c>
      <c r="Z28" s="5">
</c>
      <c r="AA28" s="5">
</c>
      <c r="AB28" s="5">
</c>
      <c r="AC28" s="5">
</c>
      <c r="AD28" s="5">
</c>
      <c r="AE28" s="5">
</c>
      <c r="AF28" s="5">
</c>
      <c r="AG28" s="5">
</c>
      <c r="AH28" s="5">
</c>
      <c r="AI28" s="5">
</c>
      <c r="AJ28" s="5">
</c>
    </row>
    <row r="29" ht="81" customHeight="1">
      <c r="A29" s="6" t="s">
        <v>23</v>
      </c>
      <c r="B29" s="6" t="s">
        <v>31</v>
      </c>
      <c r="C29" s="9" t="s">
        <v>123</v>
      </c>
      <c r="D29" s="9" t="s">
        <v>124</v>
      </c>
      <c r="E29" s="6" t="s">
        <v>34</v>
      </c>
      <c r="F29" s="5" t="s">
        <v>125</v>
      </c>
      <c r="G29" s="10" cm="1" t="str">
        <f t="array" ref="G29">IF(F29="","",SUBSTITUTE(SUBSTITUTE(SUBSTITUTE(SUBSTITUTE(F29,"&lt;li&gt;",CHAR(10)),"&lt;/li&gt;",""),"&lt;br&gt;",CHAR(10)),"&lt;strong&gt;",""))</f>
        <v>&lt;p&gt;Premier contact positif, prospect intéressé, doc transmise, proposition d'une session deep-dive sur le fonds. Plusieurs relances effectuées suite à absence de réponse. RDV physique réalisé, synthèse non détaillée, RDV programmé le 28/04/2026. Dernière relance envoyée le 28/05/2026, attente retour.&lt;/p&gt;</v>
      </c>
      <c r="H29" s="10" cm="1" t="str">
        <f t="array" ref="H29">IF(G29="","",SUBSTITUTE(SUBSTITUTE(SUBSTITUTE(SUBSTITUTE(SUBSTITUTE(G29,"&lt;p&gt;",""),"&lt;/p&gt;",""),"&lt;ul&gt;",""),"&lt;/ul&gt;",""),"&lt;/strong&gt;",""))</f>
        <v>Premier contact positif, prospect intéressé, doc transmise, proposition d'une session deep-dive sur le fonds. Plusieurs relances effectuées suite à absence de réponse. RDV physique réalisé, synthèse non détaillée, RDV programmé le 28/04/2026. Dernière relance envoyée le 28/05/2026, attente retour.</v>
      </c>
      <c r="I29" s="11" cm="1" t="str">
        <f t="array" ref="I29">IF(C29="","",IF(OR(H29="",H29=0,H29=FALSE),"-",H29))</f>
        <v>Premier contact positif, prospect intéressé, doc transmise, proposition d'une session deep-dive sur le fonds. Plusieurs relances effectuées suite à absence de réponse. RDV physique réalisé, synthèse non détaillée, RDV programmé le 28/04/2026. Dernière relance envoyée le 28/05/2026, attente retour.</v>
      </c>
      <c r="J29" s="5">
</c>
      <c r="K29" s="6" t="s">
        <v>37</v>
      </c>
      <c r="L29" s="6" cm="1" t="str">
        <f t="array" ref="L29">IF(C29="","",IF(K29="Mort / Plus rien à faire","KO","OK"))</f>
        <v>OK</v>
      </c>
      <c r="M29" s="12">
        <v>46170.45505787037</v>
      </c>
      <c r="N29" s="12" cm="1" t="n">
        <f t="array" ref="N29">IF(OR(C29="",M29="",M29=0),"",M29)</f>
        <v>46170.45505787037</v>
      </c>
      <c r="O29" s="12">
</c>
      <c r="P29" s="12" cm="1" t="str">
        <f t="array" ref="P29">IF(C29="","",IF(OR(O29="",O29=0),"-",O29))</f>
        <v>-</v>
      </c>
      <c r="Q29" s="13">
        <v>0</v>
      </c>
      <c r="R29" s="9" cm="1" t="str">
        <f t="array" ref="R29">IF(C29="","",ROUND(Q29/1000000,3)&amp;" M€")</f>
        <v>0 M€</v>
      </c>
      <c r="S29" s="9" t="s">
        <v>53</v>
      </c>
      <c r="T29" s="9" cm="1" t="str">
        <f t="array" ref="T29">IF(C29="","",SUBSTITUTE(S29,"","")&amp;"%")</f>
        <v>10%</v>
      </c>
      <c r="U29" s="11" cm="1" t="str">
        <f t="array" ref="U29">IF(($N29="")*($P29=""),"",IF(($N29&lt;&gt;"")*($N29&gt;TODAY()-9)*($N29&lt;TODAY()+1)*($P29&lt;&gt;"")*($P29&gt;=TODAY())*($P29&lt;=TODAY()+13),"Semaine passée &amp; à venir",IF(($N29&lt;&gt;"")*($N29&gt;TODAY()-9)*($N29&lt;TODAY()+1),"Semaine passée",IF(($P29&lt;&gt;"")*($P29&gt;=TODAY())*($P29&lt;=TODAY()+13),"À venir","Autre"))))</f>
        <v>Semaine passée</v>
      </c>
      <c r="V29" s="5" cm="1" t="n">
        <f t="array" ref="V29">IF(C29&lt;&gt;"",1,0)</f>
        <v>1</v>
      </c>
      <c r="W29" s="5">
</c>
      <c r="X29" s="5">
</c>
      <c r="Y29" s="5">
</c>
      <c r="Z29" s="5">
</c>
      <c r="AA29" s="5">
</c>
      <c r="AB29" s="5">
</c>
      <c r="AC29" s="5">
</c>
      <c r="AD29" s="5">
</c>
      <c r="AE29" s="5">
</c>
      <c r="AF29" s="5">
</c>
      <c r="AG29" s="5">
</c>
      <c r="AH29" s="5">
</c>
      <c r="AI29" s="5">
</c>
      <c r="AJ29" s="5">
</c>
    </row>
    <row r="30" ht="81" customHeight="1">
      <c r="A30" s="6" t="s">
        <v>23</v>
      </c>
      <c r="B30" s="6" t="s">
        <v>31</v>
      </c>
      <c r="C30" s="9" t="s">
        <v>126</v>
      </c>
      <c r="D30" s="9" t="s">
        <v>127</v>
      </c>
      <c r="E30" s="6" t="s">
        <v>34</v>
      </c>
      <c r="F30" s="5" t="s">
        <v>128</v>
      </c>
      <c r="G30" s="10" cm="1" t="str">
        <f t="array" ref="G30">IF(F30="","",SUBSTITUTE(SUBSTITUTE(SUBSTITUTE(SUBSTITUTE(F30,"&lt;li&gt;",CHAR(10)),"&lt;/li&gt;",""),"&lt;br&gt;",CHAR(10)),"&lt;strong&gt;",""))</f>
        <v>&lt;p&gt;Call 14/04 : équipe investissement a vendu 2/3 portefeuille, généré liquidités, 63% réinvesti, reste 34% à allouer. Nouvelle thèse : VC, focus qualité équipes/thématiques. Relances 27/04 et 28/05, pas de retour à ce jour. Prochaine étape : attendre réponse, relance prévue.&lt;/p&gt;</v>
      </c>
      <c r="H30" s="10" cm="1" t="str">
        <f t="array" ref="H30">IF(G30="","",SUBSTITUTE(SUBSTITUTE(SUBSTITUTE(SUBSTITUTE(SUBSTITUTE(G30,"&lt;p&gt;",""),"&lt;/p&gt;",""),"&lt;ul&gt;",""),"&lt;/ul&gt;",""),"&lt;/strong&gt;",""))</f>
        <v>Call 14/04 : équipe investissement a vendu 2/3 portefeuille, généré liquidités, 63% réinvesti, reste 34% à allouer. Nouvelle thèse : VC, focus qualité équipes/thématiques. Relances 27/04 et 28/05, pas de retour à ce jour. Prochaine étape : attendre réponse, relance prévue.</v>
      </c>
      <c r="I30" s="11" cm="1" t="str">
        <f t="array" ref="I30">IF(C30="","",IF(OR(H30="",H30=0,H30=FALSE),"-",H30))</f>
        <v>Call 14/04 : équipe investissement a vendu 2/3 portefeuille, généré liquidités, 63% réinvesti, reste 34% à allouer. Nouvelle thèse : VC, focus qualité équipes/thématiques. Relances 27/04 et 28/05, pas de retour à ce jour. Prochaine étape : attendre réponse, relance prévue.</v>
      </c>
      <c r="J30" s="5" t="s">
        <v>129</v>
      </c>
      <c r="K30" s="6" t="s">
        <v>37</v>
      </c>
      <c r="L30" s="6" cm="1" t="str">
        <f t="array" ref="L30">IF(C30="","",IF(K30="Mort / Plus rien à faire","KO","OK"))</f>
        <v>OK</v>
      </c>
      <c r="M30" s="12">
        <v>46170.41960648148</v>
      </c>
      <c r="N30" s="12" cm="1" t="n">
        <f t="array" ref="N30">IF(OR(C30="",M30="",M30=0),"",M30)</f>
        <v>46170.41960648148</v>
      </c>
      <c r="O30" s="12">
</c>
      <c r="P30" s="12" cm="1" t="str">
        <f t="array" ref="P30">IF(C30="","",IF(OR(O30="",O30=0),"-",O30))</f>
        <v>-</v>
      </c>
      <c r="Q30" s="13">
        <v>0</v>
      </c>
      <c r="R30" s="9" cm="1" t="str">
        <f t="array" ref="R30">IF(C30="","",ROUND(Q30/1000000,3)&amp;" M€")</f>
        <v>0 M€</v>
      </c>
      <c r="S30" s="9" t="s">
        <v>53</v>
      </c>
      <c r="T30" s="9" cm="1" t="str">
        <f t="array" ref="T30">IF(C30="","",SUBSTITUTE(S30,"","")&amp;"%")</f>
        <v>10%</v>
      </c>
      <c r="U30" s="11" cm="1" t="str">
        <f t="array" ref="U30">IF(($N30="")*($P30=""),"",IF(($N30&lt;&gt;"")*($N30&gt;TODAY()-9)*($N30&lt;TODAY()+1)*($P30&lt;&gt;"")*($P30&gt;=TODAY())*($P30&lt;=TODAY()+13),"Semaine passée &amp; à venir",IF(($N30&lt;&gt;"")*($N30&gt;TODAY()-9)*($N30&lt;TODAY()+1),"Semaine passée",IF(($P30&lt;&gt;"")*($P30&gt;=TODAY())*($P30&lt;=TODAY()+13),"À venir","Autre"))))</f>
        <v>Semaine passée</v>
      </c>
      <c r="V30" s="5" cm="1" t="n">
        <f t="array" ref="V30">IF(C30&lt;&gt;"",1,0)</f>
        <v>1</v>
      </c>
      <c r="W30" s="5">
</c>
      <c r="X30" s="5">
</c>
      <c r="Y30" s="5">
</c>
      <c r="Z30" s="5">
</c>
      <c r="AA30" s="5">
</c>
      <c r="AB30" s="5">
</c>
      <c r="AC30" s="5">
</c>
      <c r="AD30" s="5">
</c>
      <c r="AE30" s="5">
</c>
      <c r="AF30" s="5">
</c>
      <c r="AG30" s="5">
</c>
      <c r="AH30" s="5">
</c>
      <c r="AI30" s="5">
</c>
      <c r="AJ30" s="5">
</c>
    </row>
    <row r="31" ht="81" customHeight="1">
      <c r="A31" s="6" t="s">
        <v>23</v>
      </c>
      <c r="B31" s="6" t="s">
        <v>58</v>
      </c>
      <c r="C31" s="9" t="s">
        <v>130</v>
      </c>
      <c r="D31" s="9" t="s">
        <v>131</v>
      </c>
      <c r="E31" s="6" t="s">
        <v>34</v>
      </c>
      <c r="F31" s="5" t="s">
        <v>132</v>
      </c>
      <c r="G31" s="10" cm="1" t="str">
        <f t="array" ref="G31">IF(F31="","",SUBSTITUTE(SUBSTITUTE(SUBSTITUTE(SUBSTITUTE(F31,"&lt;li&gt;",CHAR(10)),"&lt;/li&gt;",""),"&lt;br&gt;",CHAR(10)),"&lt;strong&gt;",""))</f>
        <v>&lt;p&gt;16/04 : prospect intéressé, retour positif sur la thématique, puis silence. 27/04 : relance mail par Théo Salerno. 28/05 : nouvelle relance. Prochaine étape : relance à prévoir, pas de réponse récente du prospect. Pas d'autres actions ou retours notables à ce jour.&lt;/p&gt;</v>
      </c>
      <c r="H31" s="10" cm="1" t="str">
        <f t="array" ref="H31">IF(G31="","",SUBSTITUTE(SUBSTITUTE(SUBSTITUTE(SUBSTITUTE(SUBSTITUTE(G31,"&lt;p&gt;",""),"&lt;/p&gt;",""),"&lt;ul&gt;",""),"&lt;/ul&gt;",""),"&lt;/strong&gt;",""))</f>
        <v>16/04 : prospect intéressé, retour positif sur la thématique, puis silence. 27/04 : relance mail par Théo Salerno. 28/05 : nouvelle relance. Prochaine étape : relance à prévoir, pas de réponse récente du prospect. Pas d'autres actions ou retours notables à ce jour.</v>
      </c>
      <c r="I31" s="11" cm="1" t="str">
        <f t="array" ref="I31">IF(C31="","",IF(OR(H31="",H31=0,H31=FALSE),"-",H31))</f>
        <v>16/04 : prospect intéressé, retour positif sur la thématique, puis silence. 27/04 : relance mail par Théo Salerno. 28/05 : nouvelle relance. Prochaine étape : relance à prévoir, pas de réponse récente du prospect. Pas d'autres actions ou retours notables à ce jour.</v>
      </c>
      <c r="J31" s="5" t="s">
        <v>129</v>
      </c>
      <c r="K31" s="6" t="s">
        <v>57</v>
      </c>
      <c r="L31" s="6" cm="1" t="str">
        <f t="array" ref="L31">IF(C31="","",IF(K31="Mort / Plus rien à faire","KO","OK"))</f>
        <v>OK</v>
      </c>
      <c r="M31" s="12">
        <v>46170.45180555555</v>
      </c>
      <c r="N31" s="12" cm="1" t="n">
        <f t="array" ref="N31">IF(OR(C31="",M31="",M31=0),"",M31)</f>
        <v>46170.45180555555</v>
      </c>
      <c r="O31" s="12">
</c>
      <c r="P31" s="12" cm="1" t="str">
        <f t="array" ref="P31">IF(C31="","",IF(OR(O31="",O31=0),"-",O31))</f>
        <v>-</v>
      </c>
      <c r="Q31" s="13">
        <v>0</v>
      </c>
      <c r="R31" s="9" cm="1" t="str">
        <f t="array" ref="R31">IF(C31="","",ROUND(Q31/1000000,3)&amp;" M€")</f>
        <v>0 M€</v>
      </c>
      <c r="S31" s="9" t="s">
        <v>53</v>
      </c>
      <c r="T31" s="9" cm="1" t="str">
        <f t="array" ref="T31">IF(C31="","",SUBSTITUTE(S31,"","")&amp;"%")</f>
        <v>10%</v>
      </c>
      <c r="U31" s="11" cm="1" t="str">
        <f t="array" ref="U31">IF(($N31="")*($P31=""),"",IF(($N31&lt;&gt;"")*($N31&gt;TODAY()-9)*($N31&lt;TODAY()+1)*($P31&lt;&gt;"")*($P31&gt;=TODAY())*($P31&lt;=TODAY()+13),"Semaine passée &amp; à venir",IF(($N31&lt;&gt;"")*($N31&gt;TODAY()-9)*($N31&lt;TODAY()+1),"Semaine passée",IF(($P31&lt;&gt;"")*($P31&gt;=TODAY())*($P31&lt;=TODAY()+13),"À venir","Autre"))))</f>
        <v>Semaine passée</v>
      </c>
      <c r="V31" s="5" cm="1" t="n">
        <f t="array" ref="V31">IF(C31&lt;&gt;"",1,0)</f>
        <v>1</v>
      </c>
      <c r="W31" s="5">
</c>
      <c r="X31" s="5">
</c>
      <c r="Y31" s="5">
</c>
      <c r="Z31" s="5">
</c>
      <c r="AA31" s="5">
</c>
      <c r="AB31" s="5">
</c>
      <c r="AC31" s="5">
</c>
      <c r="AD31" s="5">
</c>
      <c r="AE31" s="5">
</c>
      <c r="AF31" s="5">
</c>
      <c r="AG31" s="5">
</c>
      <c r="AH31" s="5">
</c>
      <c r="AI31" s="5">
</c>
      <c r="AJ31" s="5">
</c>
    </row>
    <row r="32" ht="81" customHeight="1">
      <c r="A32" s="6" t="s">
        <v>23</v>
      </c>
      <c r="B32" s="6" t="s">
        <v>58</v>
      </c>
      <c r="C32" s="9" t="s">
        <v>133</v>
      </c>
      <c r="D32" s="9" t="s">
        <v>134</v>
      </c>
      <c r="E32" s="6" t="s">
        <v>34</v>
      </c>
      <c r="F32" s="5" t="s">
        <v>135</v>
      </c>
      <c r="G32" s="10" cm="1" t="str">
        <f t="array" ref="G32">IF(F32="","",SUBSTITUTE(SUBSTITUTE(SUBSTITUTE(SUBSTITUTE(F32,"&lt;li&gt;",CHAR(10)),"&lt;/li&gt;",""),"&lt;br&gt;",CHAR(10)),"&lt;strong&gt;",""))</f>
        <v>&lt;p&gt;17/04: documents envoyés, équipe prospect très occupée, retour à venir par mail. 21/04: fonds jugés intéressants mais prudence sur nouveaux gérants, timing non opportun, rester en contact. 27/04: proposition de call par Théo Salerno. 28/05: relance, pas de retour à ce jour. Prochaine étape : attendre réponse.&lt;/p&gt;</v>
      </c>
      <c r="H32" s="10" cm="1" t="str">
        <f t="array" ref="H32">IF(G32="","",SUBSTITUTE(SUBSTITUTE(SUBSTITUTE(SUBSTITUTE(SUBSTITUTE(G32,"&lt;p&gt;",""),"&lt;/p&gt;",""),"&lt;ul&gt;",""),"&lt;/ul&gt;",""),"&lt;/strong&gt;",""))</f>
        <v>17/04: documents envoyés, équipe prospect très occupée, retour à venir par mail. 21/04: fonds jugés intéressants mais prudence sur nouveaux gérants, timing non opportun, rester en contact. 27/04: proposition de call par Théo Salerno. 28/05: relance, pas de retour à ce jour. Prochaine étape : attendre réponse.</v>
      </c>
      <c r="I32" s="11" cm="1" t="str">
        <f t="array" ref="I32">IF(C32="","",IF(OR(H32="",H32=0,H32=FALSE),"-",H32))</f>
        <v>17/04: documents envoyés, équipe prospect très occupée, retour à venir par mail. 21/04: fonds jugés intéressants mais prudence sur nouveaux gérants, timing non opportun, rester en contact. 27/04: proposition de call par Théo Salerno. 28/05: relance, pas de retour à ce jour. Prochaine étape : attendre réponse.</v>
      </c>
      <c r="J32" s="5">
</c>
      <c r="K32" s="6" t="s">
        <v>78</v>
      </c>
      <c r="L32" s="6" cm="1" t="str">
        <f t="array" ref="L32">IF(C32="","",IF(K32="Mort / Plus rien à faire","KO","OK"))</f>
        <v>OK</v>
      </c>
      <c r="M32" s="12">
        <v>46170.436747685184</v>
      </c>
      <c r="N32" s="12" cm="1" t="n">
        <f t="array" ref="N32">IF(OR(C32="",M32="",M32=0),"",M32)</f>
        <v>46170.436747685184</v>
      </c>
      <c r="O32" s="12">
</c>
      <c r="P32" s="12" cm="1" t="str">
        <f t="array" ref="P32">IF(C32="","",IF(OR(O32="",O32=0),"-",O32))</f>
        <v>-</v>
      </c>
      <c r="Q32" s="13">
        <v>0</v>
      </c>
      <c r="R32" s="9" cm="1" t="str">
        <f t="array" ref="R32">IF(C32="","",ROUND(Q32/1000000,3)&amp;" M€")</f>
        <v>0 M€</v>
      </c>
      <c r="S32" s="9" t="s">
        <v>53</v>
      </c>
      <c r="T32" s="9" cm="1" t="str">
        <f t="array" ref="T32">IF(C32="","",SUBSTITUTE(S32,"","")&amp;"%")</f>
        <v>10%</v>
      </c>
      <c r="U32" s="11" cm="1" t="str">
        <f t="array" ref="U32">IF(($N32="")*($P32=""),"",IF(($N32&lt;&gt;"")*($N32&gt;TODAY()-9)*($N32&lt;TODAY()+1)*($P32&lt;&gt;"")*($P32&gt;=TODAY())*($P32&lt;=TODAY()+13),"Semaine passée &amp; à venir",IF(($N32&lt;&gt;"")*($N32&gt;TODAY()-9)*($N32&lt;TODAY()+1),"Semaine passée",IF(($P32&lt;&gt;"")*($P32&gt;=TODAY())*($P32&lt;=TODAY()+13),"À venir","Autre"))))</f>
        <v>Semaine passée</v>
      </c>
      <c r="V32" s="5" cm="1" t="n">
        <f t="array" ref="V32">IF(C32&lt;&gt;"",1,0)</f>
        <v>1</v>
      </c>
      <c r="W32" s="5">
</c>
      <c r="X32" s="5">
</c>
      <c r="Y32" s="5">
</c>
      <c r="Z32" s="5">
</c>
      <c r="AA32" s="5">
</c>
      <c r="AB32" s="5">
</c>
      <c r="AC32" s="5">
</c>
      <c r="AD32" s="5">
</c>
      <c r="AE32" s="5">
</c>
      <c r="AF32" s="5">
</c>
      <c r="AG32" s="5">
</c>
      <c r="AH32" s="5">
</c>
      <c r="AI32" s="5">
</c>
      <c r="AJ32" s="5">
</c>
    </row>
    <row r="33" ht="81" customHeight="1">
      <c r="A33" s="6" t="s">
        <v>23</v>
      </c>
      <c r="B33" s="6" t="s">
        <v>49</v>
      </c>
      <c r="C33" s="9" t="s">
        <v>136</v>
      </c>
      <c r="D33" s="9" t="s">
        <v>137</v>
      </c>
      <c r="E33" s="6" t="s">
        <v>27</v>
      </c>
      <c r="F33" s="5" t="s">
        <v>138</v>
      </c>
      <c r="G33" s="10" cm="1" t="str">
        <f t="array" ref="G33">IF(F33="","",SUBSTITUTE(SUBSTITUTE(SUBSTITUTE(SUBSTITUTE(F33,"&lt;li&gt;",CHAR(10)),"&lt;/li&gt;",""),"&lt;br&gt;",CHAR(10)),"&lt;strong&gt;",""))</f>
        <v>&lt;p&gt;Café avec Guillaume Danssault (COVEA) après relance post-newsletter EXERGON n°10. COVEA : 80% re-up PE, 20% nouvelles stratégies PE, exit autres stratégies dont Exergon. Attente validation allocation Non coté PE Straton. Ouverture possible sur La Défense. Prochaine étape : planifier RDV.&lt;/p&gt;</v>
      </c>
      <c r="H33" s="10" cm="1" t="str">
        <f t="array" ref="H33">IF(G33="","",SUBSTITUTE(SUBSTITUTE(SUBSTITUTE(SUBSTITUTE(SUBSTITUTE(G33,"&lt;p&gt;",""),"&lt;/p&gt;",""),"&lt;ul&gt;",""),"&lt;/ul&gt;",""),"&lt;/strong&gt;",""))</f>
        <v>Café avec Guillaume Danssault (COVEA) après relance post-newsletter EXERGON n°10. COVEA : 80% re-up PE, 20% nouvelles stratégies PE, exit autres stratégies dont Exergon. Attente validation allocation Non coté PE Straton. Ouverture possible sur La Défense. Prochaine étape : planifier RDV.</v>
      </c>
      <c r="I33" s="11" cm="1" t="str">
        <f t="array" ref="I33">IF(C33="","",IF(OR(H33="",H33=0,H33=FALSE),"-",H33))</f>
        <v>Café avec Guillaume Danssault (COVEA) après relance post-newsletter EXERGON n°10. COVEA : 80% re-up PE, 20% nouvelles stratégies PE, exit autres stratégies dont Exergon. Attente validation allocation Non coté PE Straton. Ouverture possible sur La Défense. Prochaine étape : planifier RDV.</v>
      </c>
      <c r="J33" s="5">
</c>
      <c r="K33" s="6" t="s">
        <v>29</v>
      </c>
      <c r="L33" s="6" cm="1" t="str">
        <f t="array" ref="L33">IF(C33="","",IF(K33="Mort / Plus rien à faire","KO","OK"))</f>
        <v>KO</v>
      </c>
      <c r="M33" s="12">
        <v>46129.75020833333</v>
      </c>
      <c r="N33" s="12" cm="1" t="n">
        <f t="array" ref="N33">IF(OR(C33="",M33="",M33=0),"",M33)</f>
        <v>46129.75020833333</v>
      </c>
      <c r="O33" s="12">
</c>
      <c r="P33" s="12" cm="1" t="str">
        <f t="array" ref="P33">IF(C33="","",IF(OR(O33="",O33=0),"-",O33))</f>
        <v>-</v>
      </c>
      <c r="Q33" s="13">
        <v>0</v>
      </c>
      <c r="R33" s="9" cm="1" t="str">
        <f t="array" ref="R33">IF(C33="","",ROUND(Q33/1000000,3)&amp;" M€")</f>
        <v>0 M€</v>
      </c>
      <c r="S33" s="9" t="s">
        <v>139</v>
      </c>
      <c r="T33" s="9" cm="1" t="str">
        <f t="array" ref="T33">IF(C33="","",SUBSTITUTE(S33,"","")&amp;"%")</f>
        <v>0%</v>
      </c>
      <c r="U33" s="11" cm="1" t="str">
        <f t="array" ref="U33">IF(($N33="")*($P33=""),"",IF(($N33&lt;&gt;"")*($N33&gt;TODAY()-9)*($N33&lt;TODAY()+1)*($P33&lt;&gt;"")*($P33&gt;=TODAY())*($P33&lt;=TODAY()+13),"Semaine passée &amp; à venir",IF(($N33&lt;&gt;"")*($N33&gt;TODAY()-9)*($N33&lt;TODAY()+1),"Semaine passée",IF(($P33&lt;&gt;"")*($P33&gt;=TODAY())*($P33&lt;=TODAY()+13),"À venir","Autre"))))</f>
        <v>Autre</v>
      </c>
      <c r="V33" s="5" cm="1" t="n">
        <f t="array" ref="V33">IF(C33&lt;&gt;"",1,0)</f>
        <v>1</v>
      </c>
      <c r="W33" s="5">
</c>
      <c r="X33" s="5">
</c>
      <c r="Y33" s="5">
</c>
      <c r="Z33" s="5">
</c>
      <c r="AA33" s="5">
</c>
      <c r="AB33" s="5">
</c>
      <c r="AC33" s="5">
</c>
      <c r="AD33" s="5">
</c>
      <c r="AE33" s="5">
</c>
      <c r="AF33" s="5">
</c>
      <c r="AG33" s="5">
</c>
      <c r="AH33" s="5">
</c>
      <c r="AI33" s="5">
</c>
      <c r="AJ33" s="5">
</c>
    </row>
    <row r="34" ht="81" customHeight="1">
      <c r="A34" s="6" t="s">
        <v>23</v>
      </c>
      <c r="B34" s="6" t="s">
        <v>140</v>
      </c>
      <c r="C34" s="9" t="s">
        <v>141</v>
      </c>
      <c r="D34" s="9" t="s">
        <v>142</v>
      </c>
      <c r="E34" s="6" t="s">
        <v>27</v>
      </c>
      <c r="F34" s="5" t="s">
        <v>143</v>
      </c>
      <c r="G34" s="10" cm="1" t="str">
        <f t="array" ref="G34">IF(F34="","",SUBSTITUTE(SUBSTITUTE(SUBSTITUTE(SUBSTITUTE(F34,"&lt;li&gt;",CHAR(10)),"&lt;/li&gt;",""),"&lt;br&gt;",CHAR(10)),"&lt;strong&gt;",""))</f>
        <v>&lt;p&gt;RDV physique 9/03/2026 ENEC : échanges sur besoins tech, évaluation R&amp;amp;D par Nind, ouverture DataRoom, focus sur impact fonds pour programme nucléaire UAE, scaling, partenariats newtech, Forward Investments (DEWA) évoqué. Prochaine étape : préDD, poursuite discussions tech/invest.&lt;/p&gt;</v>
      </c>
      <c r="H34" s="10" cm="1" t="str">
        <f t="array" ref="H34">IF(G34="","",SUBSTITUTE(SUBSTITUTE(SUBSTITUTE(SUBSTITUTE(SUBSTITUTE(G34,"&lt;p&gt;",""),"&lt;/p&gt;",""),"&lt;ul&gt;",""),"&lt;/ul&gt;",""),"&lt;/strong&gt;",""))</f>
        <v>RDV physique 9/03/2026 ENEC : échanges sur besoins tech, évaluation R&amp;amp;D par Nind, ouverture DataRoom, focus sur impact fonds pour programme nucléaire UAE, scaling, partenariats newtech, Forward Investments (DEWA) évoqué. Prochaine étape : préDD, poursuite discussions tech/invest.</v>
      </c>
      <c r="I34" s="11" cm="1" t="str">
        <f t="array" ref="I34">IF(C34="","",IF(OR(H34="",H34=0,H34=FALSE),"-",H34))</f>
        <v>RDV physique 9/03/2026 ENEC : échanges sur besoins tech, évaluation R&amp;amp;D par Nind, ouverture DataRoom, focus sur impact fonds pour programme nucléaire UAE, scaling, partenariats newtech, Forward Investments (DEWA) évoqué. Prochaine étape : préDD, poursuite discussions tech/invest.</v>
      </c>
      <c r="J34" s="5" t="s">
        <v>144</v>
      </c>
      <c r="K34" s="6" t="s">
        <v>57</v>
      </c>
      <c r="L34" s="6" cm="1" t="str">
        <f t="array" ref="L34">IF(C34="","",IF(K34="Mort / Plus rien à faire","KO","OK"))</f>
        <v>OK</v>
      </c>
      <c r="M34" s="12">
        <v>46094.44092592593</v>
      </c>
      <c r="N34" s="12" cm="1" t="n">
        <f t="array" ref="N34">IF(OR(C34="",M34="",M34=0),"",M34)</f>
        <v>46094.44092592593</v>
      </c>
      <c r="O34" s="12">
</c>
      <c r="P34" s="12" cm="1" t="str">
        <f t="array" ref="P34">IF(C34="","",IF(OR(O34="",O34=0),"-",O34))</f>
        <v>-</v>
      </c>
      <c r="Q34" s="13">
        <v>0</v>
      </c>
      <c r="R34" s="9" cm="1" t="str">
        <f t="array" ref="R34">IF(C34="","",ROUND(Q34/1000000,3)&amp;" M€")</f>
        <v>0 M€</v>
      </c>
      <c r="S34" s="9" t="s">
        <v>139</v>
      </c>
      <c r="T34" s="9" cm="1" t="str">
        <f t="array" ref="T34">IF(C34="","",SUBSTITUTE(S34,"","")&amp;"%")</f>
        <v>0%</v>
      </c>
      <c r="U34" s="11" cm="1" t="str">
        <f t="array" ref="U34">IF(($N34="")*($P34=""),"",IF(($N34&lt;&gt;"")*($N34&gt;TODAY()-9)*($N34&lt;TODAY()+1)*($P34&lt;&gt;"")*($P34&gt;=TODAY())*($P34&lt;=TODAY()+13),"Semaine passée &amp; à venir",IF(($N34&lt;&gt;"")*($N34&gt;TODAY()-9)*($N34&lt;TODAY()+1),"Semaine passée",IF(($P34&lt;&gt;"")*($P34&gt;=TODAY())*($P34&lt;=TODAY()+13),"À venir","Autre"))))</f>
        <v>Autre</v>
      </c>
      <c r="V34" s="5" cm="1" t="n">
        <f t="array" ref="V34">IF(C34&lt;&gt;"",1,0)</f>
        <v>1</v>
      </c>
      <c r="W34" s="5">
</c>
      <c r="X34" s="5">
</c>
      <c r="Y34" s="5">
</c>
      <c r="Z34" s="5">
</c>
      <c r="AA34" s="5">
</c>
      <c r="AB34" s="5">
</c>
      <c r="AC34" s="5">
</c>
      <c r="AD34" s="5">
</c>
      <c r="AE34" s="5">
</c>
      <c r="AF34" s="5">
</c>
      <c r="AG34" s="5">
</c>
      <c r="AH34" s="5">
</c>
      <c r="AI34" s="5">
</c>
      <c r="AJ34" s="5">
</c>
    </row>
    <row r="35" ht="81" customHeight="1">
      <c r="A35" s="6" t="s">
        <v>23</v>
      </c>
      <c r="B35" s="6" t="s">
        <v>24</v>
      </c>
      <c r="C35" s="9" t="s">
        <v>25</v>
      </c>
      <c r="D35" s="9" t="s">
        <v>26</v>
      </c>
      <c r="E35" s="6" t="s">
        <v>27</v>
      </c>
      <c r="F35" s="5" t="s">
        <v>145</v>
      </c>
      <c r="G35" s="10" cm="1" t="str">
        <f t="array" ref="G35">IF(F35="","",SUBSTITUTE(SUBSTITUTE(SUBSTITUTE(SUBSTITUTE(F35,"&lt;li&gt;",CHAR(10)),"&lt;/li&gt;",""),"&lt;br&gt;",CHAR(10)),"&lt;strong&gt;",""))</f>
        <v>&lt;p&gt;RDV présentation avec DESJARDINS CAPITAL réalisé, feedback reçu : présentation faite, sujet clôturé, aucune suite prévue. Pas d'autres activités ou échanges récents, ni prochaines étapes identifiées. Piste créée pour équipe Ventes, aucune mention de contexte particulier à la création.&lt;/p&gt;</v>
      </c>
      <c r="H35" s="10" cm="1" t="str">
        <f t="array" ref="H35">IF(G35="","",SUBSTITUTE(SUBSTITUTE(SUBSTITUTE(SUBSTITUTE(SUBSTITUTE(G35,"&lt;p&gt;",""),"&lt;/p&gt;",""),"&lt;ul&gt;",""),"&lt;/ul&gt;",""),"&lt;/strong&gt;",""))</f>
        <v>RDV présentation avec DESJARDINS CAPITAL réalisé, feedback reçu : présentation faite, sujet clôturé, aucune suite prévue. Pas d'autres activités ou échanges récents, ni prochaines étapes identifiées. Piste créée pour équipe Ventes, aucune mention de contexte particulier à la création.</v>
      </c>
      <c r="I35" s="11" cm="1" t="str">
        <f t="array" ref="I35">IF(C35="","",IF(OR(H35="",H35=0,H35=FALSE),"-",H35))</f>
        <v>RDV présentation avec DESJARDINS CAPITAL réalisé, feedback reçu : présentation faite, sujet clôturé, aucune suite prévue. Pas d'autres activités ou échanges récents, ni prochaines étapes identifiées. Piste créée pour équipe Ventes, aucune mention de contexte particulier à la création.</v>
      </c>
      <c r="J35" s="5">
</c>
      <c r="K35" s="6" t="s">
        <v>29</v>
      </c>
      <c r="L35" s="6" cm="1" t="str">
        <f t="array" ref="L35">IF(C35="","",IF(K35="Mort / Plus rien à faire","KO","OK"))</f>
        <v>KO</v>
      </c>
      <c r="M35" s="12">
        <v>46155.46880787037</v>
      </c>
      <c r="N35" s="12" cm="1" t="n">
        <f t="array" ref="N35">IF(OR(C35="",M35="",M35=0),"",M35)</f>
        <v>46155.46880787037</v>
      </c>
      <c r="O35" s="12">
</c>
      <c r="P35" s="12" cm="1" t="str">
        <f t="array" ref="P35">IF(C35="","",IF(OR(O35="",O35=0),"-",O35))</f>
        <v>-</v>
      </c>
      <c r="Q35" s="13">
        <v>0</v>
      </c>
      <c r="R35" s="9" cm="1" t="str">
        <f t="array" ref="R35">IF(C35="","",ROUND(Q35/1000000,3)&amp;" M€")</f>
        <v>0 M€</v>
      </c>
      <c r="S35" s="9" t="s">
        <v>139</v>
      </c>
      <c r="T35" s="9" cm="1" t="str">
        <f t="array" ref="T35">IF(C35="","",SUBSTITUTE(S35,"","")&amp;"%")</f>
        <v>0%</v>
      </c>
      <c r="U35" s="11" cm="1" t="str">
        <f t="array" ref="U35">IF(($N35="")*($P35=""),"",IF(($N35&lt;&gt;"")*($N35&gt;TODAY()-9)*($N35&lt;TODAY()+1)*($P35&lt;&gt;"")*($P35&gt;=TODAY())*($P35&lt;=TODAY()+13),"Semaine passée &amp; à venir",IF(($N35&lt;&gt;"")*($N35&gt;TODAY()-9)*($N35&lt;TODAY()+1),"Semaine passée",IF(($P35&lt;&gt;"")*($P35&gt;=TODAY())*($P35&lt;=TODAY()+13),"À venir","Autre"))))</f>
        <v>Autre</v>
      </c>
      <c r="V35" s="5" cm="1" t="n">
        <f t="array" ref="V35">IF(C35&lt;&gt;"",1,0)</f>
        <v>1</v>
      </c>
      <c r="W35" s="5">
</c>
      <c r="X35" s="5">
</c>
      <c r="Y35" s="5">
</c>
      <c r="Z35" s="5">
</c>
      <c r="AA35" s="5">
</c>
      <c r="AB35" s="5">
</c>
      <c r="AC35" s="5">
</c>
      <c r="AD35" s="5">
</c>
      <c r="AE35" s="5">
</c>
      <c r="AF35" s="5">
</c>
      <c r="AG35" s="5">
</c>
      <c r="AH35" s="5">
</c>
      <c r="AI35" s="5">
</c>
      <c r="AJ35" s="5">
</c>
    </row>
    <row r="36" ht="81" customHeight="1">
      <c r="A36" s="6" t="s">
        <v>23</v>
      </c>
      <c r="B36" s="6" t="s">
        <v>146</v>
      </c>
      <c r="C36" s="9" t="s">
        <v>147</v>
      </c>
      <c r="D36" s="9" t="s">
        <v>148</v>
      </c>
      <c r="E36" s="6" t="s">
        <v>27</v>
      </c>
      <c r="F36" s="5" t="s">
        <v>149</v>
      </c>
      <c r="G36" s="10" cm="1" t="str">
        <f t="array" ref="G36">IF(F36="","",SUBSTITUTE(SUBSTITUTE(SUBSTITUTE(SUBSTITUTE(F36,"&lt;li&gt;",CHAR(10)),"&lt;/li&gt;",""),"&lt;br&gt;",CHAR(10)),"&lt;strong&gt;",""))</f>
        <v>&lt;p&gt;Relance effectuée le 6 mars par Romain Andrieu. RDV présentation Exergon prévu le 3 décembre 2025. Dernière action notée : "Fait". Pas de retour prospect ni conclusion sur fonds. Prochaine étape : suivi post-RDV à planifier. Pas d'autres activités ou retours recensés.&lt;/p&gt;</v>
      </c>
      <c r="H36" s="10" cm="1" t="str">
        <f t="array" ref="H36">IF(G36="","",SUBSTITUTE(SUBSTITUTE(SUBSTITUTE(SUBSTITUTE(SUBSTITUTE(G36,"&lt;p&gt;",""),"&lt;/p&gt;",""),"&lt;ul&gt;",""),"&lt;/ul&gt;",""),"&lt;/strong&gt;",""))</f>
        <v>Relance effectuée le 6 mars par Romain Andrieu. RDV présentation Exergon prévu le 3 décembre 2025. Dernière action notée : "Fait". Pas de retour prospect ni conclusion sur fonds. Prochaine étape : suivi post-RDV à planifier. Pas d'autres activités ou retours recensés.</v>
      </c>
      <c r="I36" s="11" cm="1" t="str">
        <f t="array" ref="I36">IF(C36="","",IF(OR(H36="",H36=0,H36=FALSE),"-",H36))</f>
        <v>Relance effectuée le 6 mars par Romain Andrieu. RDV présentation Exergon prévu le 3 décembre 2025. Dernière action notée : "Fait". Pas de retour prospect ni conclusion sur fonds. Prochaine étape : suivi post-RDV à planifier. Pas d'autres activités ou retours recensés.</v>
      </c>
      <c r="J36" s="5" t="s">
        <v>150</v>
      </c>
      <c r="K36" s="6" t="s">
        <v>57</v>
      </c>
      <c r="L36" s="6" cm="1" t="str">
        <f t="array" ref="L36">IF(C36="","",IF(K36="Mort / Plus rien à faire","KO","OK"))</f>
        <v>OK</v>
      </c>
      <c r="M36" s="12">
        <v>45994.81638888889</v>
      </c>
      <c r="N36" s="12" cm="1" t="n">
        <f t="array" ref="N36">IF(OR(C36="",M36="",M36=0),"",M36)</f>
        <v>45994.81638888889</v>
      </c>
      <c r="O36" s="12">
</c>
      <c r="P36" s="12" cm="1" t="str">
        <f t="array" ref="P36">IF(C36="","",IF(OR(O36="",O36=0),"-",O36))</f>
        <v>-</v>
      </c>
      <c r="Q36" s="13">
        <v>0</v>
      </c>
      <c r="R36" s="9" cm="1" t="str">
        <f t="array" ref="R36">IF(C36="","",ROUND(Q36/1000000,3)&amp;" M€")</f>
        <v>0 M€</v>
      </c>
      <c r="S36" s="9" t="s">
        <v>139</v>
      </c>
      <c r="T36" s="9" cm="1" t="str">
        <f t="array" ref="T36">IF(C36="","",SUBSTITUTE(S36,"","")&amp;"%")</f>
        <v>0%</v>
      </c>
      <c r="U36" s="11" cm="1" t="str">
        <f t="array" ref="U36">IF(($N36="")*($P36=""),"",IF(($N36&lt;&gt;"")*($N36&gt;TODAY()-9)*($N36&lt;TODAY()+1)*($P36&lt;&gt;"")*($P36&gt;=TODAY())*($P36&lt;=TODAY()+13),"Semaine passée &amp; à venir",IF(($N36&lt;&gt;"")*($N36&gt;TODAY()-9)*($N36&lt;TODAY()+1),"Semaine passée",IF(($P36&lt;&gt;"")*($P36&gt;=TODAY())*($P36&lt;=TODAY()+13),"À venir","Autre"))))</f>
        <v>Autre</v>
      </c>
      <c r="V36" s="5" cm="1" t="n">
        <f t="array" ref="V36">IF(C36&lt;&gt;"",1,0)</f>
        <v>1</v>
      </c>
      <c r="W36" s="5">
</c>
      <c r="X36" s="5">
</c>
      <c r="Y36" s="5">
</c>
      <c r="Z36" s="5">
</c>
      <c r="AA36" s="5">
</c>
      <c r="AB36" s="5">
</c>
      <c r="AC36" s="5">
</c>
      <c r="AD36" s="5">
</c>
      <c r="AE36" s="5">
</c>
      <c r="AF36" s="5">
</c>
      <c r="AG36" s="5">
</c>
      <c r="AH36" s="5">
</c>
      <c r="AI36" s="5">
</c>
      <c r="AJ36" s="5">
</c>
    </row>
    <row r="37" ht="81" customHeight="1">
      <c r="A37" s="6" t="s">
        <v>151</v>
      </c>
      <c r="B37" s="6" t="s">
        <v>152</v>
      </c>
      <c r="C37" s="9" t="s">
        <v>153</v>
      </c>
      <c r="D37" s="9" t="s">
        <v>154</v>
      </c>
      <c r="E37" s="6" t="s">
        <v>155</v>
      </c>
      <c r="F37" s="5" t="s">
        <v>156</v>
      </c>
      <c r="G37" s="10" cm="1" t="str">
        <f t="array" ref="G37">IF(F37="","",SUBSTITUTE(SUBSTITUTE(SUBSTITUTE(SUBSTITUTE(F37,"&lt;li&gt;",CHAR(10)),"&lt;/li&gt;",""),"&lt;br&gt;",CHAR(10)),"&lt;strong&gt;",""))</f>
        <v>&lt;p&gt;03.03 prospection Allemagne pour Expansion &amp;amp; Calderion, intérêt confirmé. 10.03 visio Teams avec Lakshmi Viswanathan (UNDP), Calderion &amp;amp; Exergon : qualification UNDP, présentation fonds, échanges sur synergies, focus impact investing, climat, SDG, fonds GCF. Prochaines étapes : envoyer teasers Calderion/Exergon, contacter UN CDF/GCF.&lt;/p&gt;</v>
      </c>
      <c r="H37" s="10" cm="1" t="str">
        <f t="array" ref="H37">IF(G37="","",SUBSTITUTE(SUBSTITUTE(SUBSTITUTE(SUBSTITUTE(SUBSTITUTE(G37,"&lt;p&gt;",""),"&lt;/p&gt;",""),"&lt;ul&gt;",""),"&lt;/ul&gt;",""),"&lt;/strong&gt;",""))</f>
        <v>03.03 prospection Allemagne pour Expansion &amp;amp; Calderion, intérêt confirmé. 10.03 visio Teams avec Lakshmi Viswanathan (UNDP), Calderion &amp;amp; Exergon : qualification UNDP, présentation fonds, échanges sur synergies, focus impact investing, climat, SDG, fonds GCF. Prochaines étapes : envoyer teasers Calderion/Exergon, contacter UN CDF/GCF.</v>
      </c>
      <c r="I37" s="11" cm="1" t="str">
        <f t="array" ref="I37">IF(C37="","",IF(OR(H37="",H37=0,H37=FALSE),"-",H37))</f>
        <v>03.03 prospection Allemagne pour Expansion &amp;amp; Calderion, intérêt confirmé. 10.03 visio Teams avec Lakshmi Viswanathan (UNDP), Calderion &amp;amp; Exergon : qualification UNDP, présentation fonds, échanges sur synergies, focus impact investing, climat, SDG, fonds GCF. Prochaines étapes : envoyer teasers Calderion/Exergon, contacter UN CDF/GCF.</v>
      </c>
      <c r="J37" s="5">
</c>
      <c r="K37" s="6" t="s">
        <v>157</v>
      </c>
      <c r="L37" s="6" cm="1" t="str">
        <f t="array" ref="L37">IF(C37="","",IF(K37="Mort / Plus rien à faire","KO","OK"))</f>
        <v>OK</v>
      </c>
      <c r="M37" s="12">
        <v>46091.48451388889</v>
      </c>
      <c r="N37" s="12" cm="1" t="n">
        <f t="array" ref="N37">IF(OR(C37="",M37="",M37=0),"",M37)</f>
        <v>46091.48451388889</v>
      </c>
      <c r="O37" s="12">
</c>
      <c r="P37" s="12" cm="1" t="str">
        <f t="array" ref="P37">IF(C37="","",IF(OR(O37="",O37=0),"-",O37))</f>
        <v>-</v>
      </c>
      <c r="Q37" s="13">
        <v>0</v>
      </c>
      <c r="R37" s="9" cm="1" t="str">
        <f t="array" ref="R37">IF(C37="","",ROUND(Q37/1000000,3)&amp;" M€")</f>
        <v>0 M€</v>
      </c>
      <c r="S37" s="9" t="s">
        <v>139</v>
      </c>
      <c r="T37" s="9" cm="1" t="str">
        <f t="array" ref="T37">IF(C37="","",SUBSTITUTE(S37,"","")&amp;"%")</f>
        <v>0%</v>
      </c>
      <c r="U37" s="11" cm="1" t="str">
        <f t="array" ref="U37">IF(($N37="")*($P37=""),"",IF(($N37&lt;&gt;"")*($N37&gt;TODAY()-9)*($N37&lt;TODAY()+1)*($P37&lt;&gt;"")*($P37&gt;=TODAY())*($P37&lt;=TODAY()+13),"Semaine passée &amp; à venir",IF(($N37&lt;&gt;"")*($N37&gt;TODAY()-9)*($N37&lt;TODAY()+1),"Semaine passée",IF(($P37&lt;&gt;"")*($P37&gt;=TODAY())*($P37&lt;=TODAY()+13),"À venir","Autre"))))</f>
        <v>Autre</v>
      </c>
      <c r="V37" s="5" cm="1" t="n">
        <f t="array" ref="V37">IF(C37&lt;&gt;"",1,0)</f>
        <v>1</v>
      </c>
      <c r="W37" s="5">
</c>
      <c r="X37" s="5">
</c>
      <c r="Y37" s="5">
</c>
      <c r="Z37" s="5">
</c>
      <c r="AA37" s="5">
</c>
      <c r="AB37" s="5">
</c>
      <c r="AC37" s="5">
</c>
      <c r="AD37" s="5">
</c>
      <c r="AE37" s="5">
</c>
      <c r="AF37" s="5">
</c>
      <c r="AG37" s="5">
</c>
      <c r="AH37" s="5">
</c>
      <c r="AI37" s="5">
</c>
      <c r="AJ37" s="5">
</c>
    </row>
    <row r="38" ht="81" customHeight="1">
      <c r="A38" s="6" t="s">
        <v>23</v>
      </c>
      <c r="B38" s="6">
</c>
      <c r="C38" s="9" t="s">
        <v>158</v>
      </c>
      <c r="D38" s="9" t="s">
        <v>159</v>
      </c>
      <c r="E38" s="6" t="s">
        <v>27</v>
      </c>
      <c r="F38" s="5" t="s">
        <v>160</v>
      </c>
      <c r="G38" s="10" cm="1" t="str">
        <f t="array" ref="G38">IF(F38="","",SUBSTITUTE(SUBSTITUTE(SUBSTITUTE(SUBSTITUTE(F38,"&lt;li&gt;",CHAR(10)),"&lt;/li&gt;",""),"&lt;br&gt;",CHAR(10)),"&lt;strong&gt;",""))</f>
        <v>&lt;p&gt;Aucune activité menée sur le prospect. Un nouvelle piste a été créée pour l'équipe "Ventes". Aucun échange, action ou retour prospect enregistré à ce jour. Pas de suivi, pas de prochaine étape identifiée.&lt;/p&gt;</v>
      </c>
      <c r="H38" s="10" cm="1" t="str">
        <f t="array" ref="H38">IF(G38="","",SUBSTITUTE(SUBSTITUTE(SUBSTITUTE(SUBSTITUTE(SUBSTITUTE(G38,"&lt;p&gt;",""),"&lt;/p&gt;",""),"&lt;ul&gt;",""),"&lt;/ul&gt;",""),"&lt;/strong&gt;",""))</f>
        <v>Aucune activité menée sur le prospect. Un nouvelle piste a été créée pour l'équipe "Ventes". Aucun échange, action ou retour prospect enregistré à ce jour. Pas de suivi, pas de prochaine étape identifiée.</v>
      </c>
      <c r="I38" s="11" cm="1" t="str">
        <f t="array" ref="I38">IF(C38="","",IF(OR(H38="",H38=0,H38=FALSE),"-",H38))</f>
        <v>Aucune activité menée sur le prospect. Un nouvelle piste a été créée pour l'équipe "Ventes". Aucun échange, action ou retour prospect enregistré à ce jour. Pas de suivi, pas de prochaine étape identifiée.</v>
      </c>
      <c r="J38" s="5">
</c>
      <c r="K38" s="6" t="s">
        <v>57</v>
      </c>
      <c r="L38" s="6" cm="1" t="str">
        <f t="array" ref="L38">IF(C38="","",IF(K38="Mort / Plus rien à faire","KO","OK"))</f>
        <v>OK</v>
      </c>
      <c r="M38" s="12">
        <v>46091.4943287037</v>
      </c>
      <c r="N38" s="12" cm="1" t="n">
        <f t="array" ref="N38">IF(OR(C38="",M38="",M38=0),"",M38)</f>
        <v>46091.4943287037</v>
      </c>
      <c r="O38" s="12">
</c>
      <c r="P38" s="12" cm="1" t="str">
        <f t="array" ref="P38">IF(C38="","",IF(OR(O38="",O38=0),"-",O38))</f>
        <v>-</v>
      </c>
      <c r="Q38" s="13">
        <v>0</v>
      </c>
      <c r="R38" s="9" cm="1" t="str">
        <f t="array" ref="R38">IF(C38="","",ROUND(Q38/1000000,3)&amp;" M€")</f>
        <v>0 M€</v>
      </c>
      <c r="S38" s="9" t="s">
        <v>139</v>
      </c>
      <c r="T38" s="9" cm="1" t="str">
        <f t="array" ref="T38">IF(C38="","",SUBSTITUTE(S38,"","")&amp;"%")</f>
        <v>0%</v>
      </c>
      <c r="U38" s="11" cm="1" t="str">
        <f t="array" ref="U38">IF(($N38="")*($P38=""),"",IF(($N38&lt;&gt;"")*($N38&gt;TODAY()-9)*($N38&lt;TODAY()+1)*($P38&lt;&gt;"")*($P38&gt;=TODAY())*($P38&lt;=TODAY()+13),"Semaine passée &amp; à venir",IF(($N38&lt;&gt;"")*($N38&gt;TODAY()-9)*($N38&lt;TODAY()+1),"Semaine passée",IF(($P38&lt;&gt;"")*($P38&gt;=TODAY())*($P38&lt;=TODAY()+13),"À venir","Autre"))))</f>
        <v>Autre</v>
      </c>
      <c r="V38" s="5" cm="1" t="n">
        <f t="array" ref="V38">IF(C38&lt;&gt;"",1,0)</f>
        <v>1</v>
      </c>
      <c r="W38" s="5">
</c>
      <c r="X38" s="5">
</c>
      <c r="Y38" s="5">
</c>
      <c r="Z38" s="5">
</c>
      <c r="AA38" s="5">
</c>
      <c r="AB38" s="5">
</c>
      <c r="AC38" s="5">
</c>
      <c r="AD38" s="5">
</c>
      <c r="AE38" s="5">
</c>
      <c r="AF38" s="5">
</c>
      <c r="AG38" s="5">
</c>
      <c r="AH38" s="5">
</c>
      <c r="AI38" s="5">
</c>
      <c r="AJ38" s="5">
</c>
    </row>
    <row r="39" ht="81" customHeight="1">
      <c r="A39" s="6" t="s">
        <v>23</v>
      </c>
      <c r="B39" s="6" t="s">
        <v>161</v>
      </c>
      <c r="C39" s="9" t="s">
        <v>162</v>
      </c>
      <c r="D39" s="9" t="s">
        <v>163</v>
      </c>
      <c r="E39" s="6" t="s">
        <v>27</v>
      </c>
      <c r="F39" s="5" t="s">
        <v>164</v>
      </c>
      <c r="G39" s="10" cm="1" t="str">
        <f t="array" ref="G39">IF(F39="","",SUBSTITUTE(SUBSTITUTE(SUBSTITUTE(SUBSTITUTE(F39,"&lt;li&gt;",CHAR(10)),"&lt;/li&gt;",""),"&lt;br&gt;",CHAR(10)),"&lt;strong&gt;",""))</f>
        <v>&lt;p&gt;Process interne OPF 2025 sur private markets, décision d'investir dans GPs nordiques, BP finalisé mi-avril 2026. Mandat possible pour stratégie Aerospace &amp;amp; Defense (base Suède). Fonds new nuclear exclu (GP français). Prochain RDV prévu janv 2027. Attente validation BP, contact investisseurs Oslo possible.&lt;/p&gt;</v>
      </c>
      <c r="H39" s="10" cm="1" t="str">
        <f t="array" ref="H39">IF(G39="","",SUBSTITUTE(SUBSTITUTE(SUBSTITUTE(SUBSTITUTE(SUBSTITUTE(G39,"&lt;p&gt;",""),"&lt;/p&gt;",""),"&lt;ul&gt;",""),"&lt;/ul&gt;",""),"&lt;/strong&gt;",""))</f>
        <v>Process interne OPF 2025 sur private markets, décision d'investir dans GPs nordiques, BP finalisé mi-avril 2026. Mandat possible pour stratégie Aerospace &amp;amp; Defense (base Suède). Fonds new nuclear exclu (GP français). Prochain RDV prévu janv 2027. Attente validation BP, contact investisseurs Oslo possible.</v>
      </c>
      <c r="I39" s="11" cm="1" t="str">
        <f t="array" ref="I39">IF(C39="","",IF(OR(H39="",H39=0,H39=FALSE),"-",H39))</f>
        <v>Process interne OPF 2025 sur private markets, décision d'investir dans GPs nordiques, BP finalisé mi-avril 2026. Mandat possible pour stratégie Aerospace &amp;amp; Defense (base Suède). Fonds new nuclear exclu (GP français). Prochain RDV prévu janv 2027. Attente validation BP, contact investisseurs Oslo possible.</v>
      </c>
      <c r="J39" s="5" t="s">
        <v>165</v>
      </c>
      <c r="K39" s="6" t="s">
        <v>29</v>
      </c>
      <c r="L39" s="6" cm="1" t="str">
        <f t="array" ref="L39">IF(C39="","",IF(K39="Mort / Plus rien à faire","KO","OK"))</f>
        <v>KO</v>
      </c>
      <c r="M39" s="12">
        <v>46094.56726851852</v>
      </c>
      <c r="N39" s="12" cm="1" t="n">
        <f t="array" ref="N39">IF(OR(C39="",M39="",M39=0),"",M39)</f>
        <v>46094.56726851852</v>
      </c>
      <c r="O39" s="12">
</c>
      <c r="P39" s="12" cm="1" t="str">
        <f t="array" ref="P39">IF(C39="","",IF(OR(O39="",O39=0),"-",O39))</f>
        <v>-</v>
      </c>
      <c r="Q39" s="13">
        <v>15000000</v>
      </c>
      <c r="R39" s="9" cm="1" t="str">
        <f t="array" ref="R39">IF(C39="","",ROUND(Q39/1000000,3)&amp;" M€")</f>
        <v>15 M€</v>
      </c>
      <c r="S39" s="9" t="s">
        <v>139</v>
      </c>
      <c r="T39" s="9" cm="1" t="str">
        <f t="array" ref="T39">IF(C39="","",SUBSTITUTE(S39,"","")&amp;"%")</f>
        <v>0%</v>
      </c>
      <c r="U39" s="11" cm="1" t="str">
        <f t="array" ref="U39">IF(($N39="")*($P39=""),"",IF(($N39&lt;&gt;"")*($N39&gt;TODAY()-9)*($N39&lt;TODAY()+1)*($P39&lt;&gt;"")*($P39&gt;=TODAY())*($P39&lt;=TODAY()+13),"Semaine passée &amp; à venir",IF(($N39&lt;&gt;"")*($N39&gt;TODAY()-9)*($N39&lt;TODAY()+1),"Semaine passée",IF(($P39&lt;&gt;"")*($P39&gt;=TODAY())*($P39&lt;=TODAY()+13),"À venir","Autre"))))</f>
        <v>Autre</v>
      </c>
      <c r="V39" s="5" cm="1" t="n">
        <f t="array" ref="V39">IF(C39&lt;&gt;"",1,0)</f>
        <v>1</v>
      </c>
      <c r="W39" s="5">
</c>
      <c r="X39" s="5">
</c>
      <c r="Y39" s="5">
</c>
      <c r="Z39" s="5">
</c>
      <c r="AA39" s="5">
</c>
      <c r="AB39" s="5">
</c>
      <c r="AC39" s="5">
</c>
      <c r="AD39" s="5">
</c>
      <c r="AE39" s="5">
</c>
      <c r="AF39" s="5">
</c>
      <c r="AG39" s="5">
</c>
      <c r="AH39" s="5">
</c>
      <c r="AI39" s="5">
</c>
      <c r="AJ39" s="5">
</c>
    </row>
    <row r="40" ht="81" customHeight="1">
      <c r="A40" s="6" t="s">
        <v>23</v>
      </c>
      <c r="B40" s="6" t="s">
        <v>49</v>
      </c>
      <c r="C40" s="9" t="s">
        <v>166</v>
      </c>
      <c r="D40" s="9" t="s">
        <v>167</v>
      </c>
      <c r="E40" s="6" t="s">
        <v>27</v>
      </c>
      <c r="F40" s="5" t="s">
        <v>168</v>
      </c>
      <c r="G40" s="10" cm="1" t="str">
        <f t="array" ref="G40">IF(F40="","",SUBSTITUTE(SUBSTITUTE(SUBSTITUTE(SUBSTITUTE(F40,"&lt;li&gt;",CHAR(10)),"&lt;/li&gt;",""),"&lt;br&gt;",CHAR(10)),"&lt;strong&gt;",""))</f>
        <v>&lt;p&gt;BPCE Ass via Flexstone refuse offre, trop tôt pour eux, préfèrent early growth/TIBI. Ticket visé 8M€. Discussions Flexstone sans suite, assureur non réactif. Prochain RDV 11 juin pour quantonation. Petit-déj 15/10/25 avec Corinne Cipière (DG BPCE Ass), lead JF Coppe. Enrichissement lead impossible (email invalide).&lt;/p&gt;</v>
      </c>
      <c r="H40" s="10" cm="1" t="str">
        <f t="array" ref="H40">IF(G40="","",SUBSTITUTE(SUBSTITUTE(SUBSTITUTE(SUBSTITUTE(SUBSTITUTE(G40,"&lt;p&gt;",""),"&lt;/p&gt;",""),"&lt;ul&gt;",""),"&lt;/ul&gt;",""),"&lt;/strong&gt;",""))</f>
        <v>BPCE Ass via Flexstone refuse offre, trop tôt pour eux, préfèrent early growth/TIBI. Ticket visé 8M€. Discussions Flexstone sans suite, assureur non réactif. Prochain RDV 11 juin pour quantonation. Petit-déj 15/10/25 avec Corinne Cipière (DG BPCE Ass), lead JF Coppe. Enrichissement lead impossible (email invalide).</v>
      </c>
      <c r="I40" s="11" cm="1" t="str">
        <f t="array" ref="I40">IF(C40="","",IF(OR(H40="",H40=0,H40=FALSE),"-",H40))</f>
        <v>BPCE Ass via Flexstone refuse offre, trop tôt pour eux, préfèrent early growth/TIBI. Ticket visé 8M€. Discussions Flexstone sans suite, assureur non réactif. Prochain RDV 11 juin pour quantonation. Petit-déj 15/10/25 avec Corinne Cipière (DG BPCE Ass), lead JF Coppe. Enrichissement lead impossible (email invalide).</v>
      </c>
      <c r="J40" s="5" t="s">
        <v>169</v>
      </c>
      <c r="K40" s="6" t="s">
        <v>157</v>
      </c>
      <c r="L40" s="6" cm="1" t="str">
        <f t="array" ref="L40">IF(C40="","",IF(K40="Mort / Plus rien à faire","KO","OK"))</f>
        <v>OK</v>
      </c>
      <c r="M40" s="12">
        <v>46149.72758101852</v>
      </c>
      <c r="N40" s="12" cm="1" t="n">
        <f t="array" ref="N40">IF(OR(C40="",M40="",M40=0),"",M40)</f>
        <v>46149.72758101852</v>
      </c>
      <c r="O40" s="12">
        <v>46184.083333333336</v>
      </c>
      <c r="P40" s="12" cm="1" t="n">
        <f t="array" ref="P40">IF(C40="","",IF(OR(O40="",O40=0),"-",O40))</f>
        <v>46184.083333333336</v>
      </c>
      <c r="Q40" s="13">
        <v>0</v>
      </c>
      <c r="R40" s="9" cm="1" t="str">
        <f t="array" ref="R40">IF(C40="","",ROUND(Q40/1000000,3)&amp;" M€")</f>
        <v>0 M€</v>
      </c>
      <c r="S40" s="9" t="s">
        <v>139</v>
      </c>
      <c r="T40" s="9" cm="1" t="str">
        <f t="array" ref="T40">IF(C40="","",SUBSTITUTE(S40,"","")&amp;"%")</f>
        <v>0%</v>
      </c>
      <c r="U40" s="11" cm="1" t="str">
        <f t="array" ref="U40">IF(($N40="")*($P40=""),"",IF(($N40&lt;&gt;"")*($N40&gt;TODAY()-9)*($N40&lt;TODAY()+1)*($P40&lt;&gt;"")*($P40&gt;=TODAY())*($P40&lt;=TODAY()+13),"Semaine passée &amp; à venir",IF(($N40&lt;&gt;"")*($N40&gt;TODAY()-9)*($N40&lt;TODAY()+1),"Semaine passée",IF(($P40&lt;&gt;"")*($P40&gt;=TODAY())*($P40&lt;=TODAY()+13),"À venir","Autre"))))</f>
        <v>Autre</v>
      </c>
      <c r="V40" s="5" cm="1" t="n">
        <f t="array" ref="V40">IF(C40&lt;&gt;"",1,0)</f>
        <v>1</v>
      </c>
      <c r="W40" s="5">
</c>
      <c r="X40" s="5">
</c>
      <c r="Y40" s="5">
</c>
      <c r="Z40" s="5">
</c>
      <c r="AA40" s="5">
</c>
      <c r="AB40" s="5">
</c>
      <c r="AC40" s="5">
</c>
      <c r="AD40" s="5">
</c>
      <c r="AE40" s="5">
</c>
      <c r="AF40" s="5">
</c>
      <c r="AG40" s="5">
</c>
      <c r="AH40" s="5">
</c>
      <c r="AI40" s="5">
</c>
      <c r="AJ40" s="5">
</c>
    </row>
    <row r="41" ht="81" customHeight="1">
      <c r="A41" s="6" t="s">
        <v>23</v>
      </c>
      <c r="B41" s="6" t="s">
        <v>69</v>
      </c>
      <c r="C41" s="9" t="s">
        <v>170</v>
      </c>
      <c r="D41" s="9" t="s">
        <v>171</v>
      </c>
      <c r="E41" s="6" t="s">
        <v>27</v>
      </c>
      <c r="F41" s="5" t="s">
        <v>172</v>
      </c>
      <c r="G41" s="10" cm="1" t="str">
        <f t="array" ref="G41">IF(F41="","",SUBSTITUTE(SUBSTITUTE(SUBSTITUTE(SUBSTITUTE(F41,"&lt;li&gt;",CHAR(10)),"&lt;/li&gt;",""),"&lt;br&gt;",CHAR(10)),"&lt;strong&gt;",""))</f>
        <v>&lt;p&gt;Aucune activité menée sur le prospect. Un nouvelle piste a été créée pour l'équipe "Ventes". Aucun échange, action ou retour prospect enregistré à ce jour. Pas de prochaines étapes identifiées ni de suivi documenté dans les messages ou activités.&lt;/p&gt;</v>
      </c>
      <c r="H41" s="10" cm="1" t="str">
        <f t="array" ref="H41">IF(G41="","",SUBSTITUTE(SUBSTITUTE(SUBSTITUTE(SUBSTITUTE(SUBSTITUTE(G41,"&lt;p&gt;",""),"&lt;/p&gt;",""),"&lt;ul&gt;",""),"&lt;/ul&gt;",""),"&lt;/strong&gt;",""))</f>
        <v>Aucune activité menée sur le prospect. Un nouvelle piste a été créée pour l'équipe "Ventes". Aucun échange, action ou retour prospect enregistré à ce jour. Pas de prochaines étapes identifiées ni de suivi documenté dans les messages ou activités.</v>
      </c>
      <c r="I41" s="11" cm="1" t="str">
        <f t="array" ref="I41">IF(C41="","",IF(OR(H41="",H41=0,H41=FALSE),"-",H41))</f>
        <v>Aucune activité menée sur le prospect. Un nouvelle piste a été créée pour l'équipe "Ventes". Aucun échange, action ou retour prospect enregistré à ce jour. Pas de prochaines étapes identifiées ni de suivi documenté dans les messages ou activités.</v>
      </c>
      <c r="J41" s="5">
</c>
      <c r="K41" s="6" t="s">
        <v>57</v>
      </c>
      <c r="L41" s="6" cm="1" t="str">
        <f t="array" ref="L41">IF(C41="","",IF(K41="Mort / Plus rien à faire","KO","OK"))</f>
        <v>OK</v>
      </c>
      <c r="M41" s="12">
        <v>46114.72243055556</v>
      </c>
      <c r="N41" s="12" cm="1" t="n">
        <f t="array" ref="N41">IF(OR(C41="",M41="",M41=0),"",M41)</f>
        <v>46114.72243055556</v>
      </c>
      <c r="O41" s="12">
</c>
      <c r="P41" s="12" cm="1" t="str">
        <f t="array" ref="P41">IF(C41="","",IF(OR(O41="",O41=0),"-",O41))</f>
        <v>-</v>
      </c>
      <c r="Q41" s="13">
        <v>0</v>
      </c>
      <c r="R41" s="9" cm="1" t="str">
        <f t="array" ref="R41">IF(C41="","",ROUND(Q41/1000000,3)&amp;" M€")</f>
        <v>0 M€</v>
      </c>
      <c r="S41" s="9" t="s">
        <v>139</v>
      </c>
      <c r="T41" s="9" cm="1" t="str">
        <f t="array" ref="T41">IF(C41="","",SUBSTITUTE(S41,"","")&amp;"%")</f>
        <v>0%</v>
      </c>
      <c r="U41" s="11" cm="1" t="str">
        <f t="array" ref="U41">IF(($N41="")*($P41=""),"",IF(($N41&lt;&gt;"")*($N41&gt;TODAY()-9)*($N41&lt;TODAY()+1)*($P41&lt;&gt;"")*($P41&gt;=TODAY())*($P41&lt;=TODAY()+13),"Semaine passée &amp; à venir",IF(($N41&lt;&gt;"")*($N41&gt;TODAY()-9)*($N41&lt;TODAY()+1),"Semaine passée",IF(($P41&lt;&gt;"")*($P41&gt;=TODAY())*($P41&lt;=TODAY()+13),"À venir","Autre"))))</f>
        <v>Autre</v>
      </c>
      <c r="V41" s="5" cm="1" t="n">
        <f t="array" ref="V41">IF(C41&lt;&gt;"",1,0)</f>
        <v>1</v>
      </c>
      <c r="W41" s="5">
</c>
      <c r="X41" s="5">
</c>
      <c r="Y41" s="5">
</c>
      <c r="Z41" s="5">
</c>
      <c r="AA41" s="5">
</c>
      <c r="AB41" s="5">
</c>
      <c r="AC41" s="5">
</c>
      <c r="AD41" s="5">
</c>
      <c r="AE41" s="5">
</c>
      <c r="AF41" s="5">
</c>
      <c r="AG41" s="5">
</c>
      <c r="AH41" s="5">
</c>
      <c r="AI41" s="5">
</c>
      <c r="AJ41" s="5">
</c>
    </row>
    <row r="42" ht="81" customHeight="1">
      <c r="A42" s="6" t="s">
        <v>23</v>
      </c>
      <c r="B42" s="6" t="s">
        <v>49</v>
      </c>
      <c r="C42" s="9" t="s">
        <v>173</v>
      </c>
      <c r="D42" s="9" t="s">
        <v>174</v>
      </c>
      <c r="E42" s="6" t="s">
        <v>27</v>
      </c>
      <c r="F42" s="5" t="s">
        <v>175</v>
      </c>
      <c r="G42" s="10" cm="1" t="str">
        <f t="array" ref="G42">IF(F42="","",SUBSTITUTE(SUBSTITUTE(SUBSTITUTE(SUBSTITUTE(F42,"&lt;li&gt;",CHAR(10)),"&lt;/li&gt;",""),"&lt;br&gt;",CHAR(10)),"&lt;strong&gt;",""))</f>
        <v>&lt;p&gt;Relance ciblée sur EXERGON, prospect très axé PE, peu ouvert VC, suggestion de contacter Cardif. 30/09/2025: absence de réponse, RDV le 5 mai sur autre sujet, attente traitement Saptial, AXA discute avec Entrooview. Relances faites auprès de Benjamin Komarnicki. Prochaine étape : relance prévue 04/01/2027.&lt;/p&gt;</v>
      </c>
      <c r="H42" s="10" cm="1" t="str">
        <f t="array" ref="H42">IF(G42="","",SUBSTITUTE(SUBSTITUTE(SUBSTITUTE(SUBSTITUTE(SUBSTITUTE(G42,"&lt;p&gt;",""),"&lt;/p&gt;",""),"&lt;ul&gt;",""),"&lt;/ul&gt;",""),"&lt;/strong&gt;",""))</f>
        <v>Relance ciblée sur EXERGON, prospect très axé PE, peu ouvert VC, suggestion de contacter Cardif. 30/09/2025: absence de réponse, RDV le 5 mai sur autre sujet, attente traitement Saptial, AXA discute avec Entrooview. Relances faites auprès de Benjamin Komarnicki. Prochaine étape : relance prévue 04/01/2027.</v>
      </c>
      <c r="I42" s="11" cm="1" t="str">
        <f t="array" ref="I42">IF(C42="","",IF(OR(H42="",H42=0,H42=FALSE),"-",H42))</f>
        <v>Relance ciblée sur EXERGON, prospect très axé PE, peu ouvert VC, suggestion de contacter Cardif. 30/09/2025: absence de réponse, RDV le 5 mai sur autre sujet, attente traitement Saptial, AXA discute avec Entrooview. Relances faites auprès de Benjamin Komarnicki. Prochaine étape : relance prévue 04/01/2027.</v>
      </c>
      <c r="J42" s="5" t="s">
        <v>176</v>
      </c>
      <c r="K42" s="6" t="s">
        <v>29</v>
      </c>
      <c r="L42" s="6" cm="1" t="str">
        <f t="array" ref="L42">IF(C42="","",IF(K42="Mort / Plus rien à faire","KO","OK"))</f>
        <v>KO</v>
      </c>
      <c r="M42" s="12">
        <v>46140.83127314815</v>
      </c>
      <c r="N42" s="12" cm="1" t="n">
        <f t="array" ref="N42">IF(OR(C42="",M42="",M42=0),"",M42)</f>
        <v>46140.83127314815</v>
      </c>
      <c r="O42" s="12">
        <v>46391.041666666664</v>
      </c>
      <c r="P42" s="12" cm="1" t="n">
        <f t="array" ref="P42">IF(C42="","",IF(OR(O42="",O42=0),"-",O42))</f>
        <v>46391.041666666664</v>
      </c>
      <c r="Q42" s="13">
        <v>0</v>
      </c>
      <c r="R42" s="9" cm="1" t="str">
        <f t="array" ref="R42">IF(C42="","",ROUND(Q42/1000000,3)&amp;" M€")</f>
        <v>0 M€</v>
      </c>
      <c r="S42" s="9" t="s">
        <v>139</v>
      </c>
      <c r="T42" s="9" cm="1" t="str">
        <f t="array" ref="T42">IF(C42="","",SUBSTITUTE(S42,"","")&amp;"%")</f>
        <v>0%</v>
      </c>
      <c r="U42" s="11" cm="1" t="str">
        <f t="array" ref="U42">IF(($N42="")*($P42=""),"",IF(($N42&lt;&gt;"")*($N42&gt;TODAY()-9)*($N42&lt;TODAY()+1)*($P42&lt;&gt;"")*($P42&gt;=TODAY())*($P42&lt;=TODAY()+13),"Semaine passée &amp; à venir",IF(($N42&lt;&gt;"")*($N42&gt;TODAY()-9)*($N42&lt;TODAY()+1),"Semaine passée",IF(($P42&lt;&gt;"")*($P42&gt;=TODAY())*($P42&lt;=TODAY()+13),"À venir","Autre"))))</f>
        <v>Autre</v>
      </c>
      <c r="V42" s="5" cm="1" t="n">
        <f t="array" ref="V42">IF(C42&lt;&gt;"",1,0)</f>
        <v>1</v>
      </c>
      <c r="W42" s="5">
</c>
      <c r="X42" s="5">
</c>
      <c r="Y42" s="5">
</c>
      <c r="Z42" s="5">
</c>
      <c r="AA42" s="5">
</c>
      <c r="AB42" s="5">
</c>
      <c r="AC42" s="5">
</c>
      <c r="AD42" s="5">
</c>
      <c r="AE42" s="5">
</c>
      <c r="AF42" s="5">
</c>
      <c r="AG42" s="5">
</c>
      <c r="AH42" s="5">
</c>
      <c r="AI42" s="5">
</c>
      <c r="AJ42" s="5">
</c>
    </row>
    <row r="43" ht="81" customHeight="1">
      <c r="A43" s="6" t="s">
        <v>23</v>
      </c>
      <c r="B43" s="6" t="s">
        <v>177</v>
      </c>
      <c r="C43" s="9" t="s">
        <v>178</v>
      </c>
      <c r="D43" s="9" t="s">
        <v>179</v>
      </c>
      <c r="E43" s="6" t="s">
        <v>27</v>
      </c>
      <c r="F43" s="5" t="s">
        <v>180</v>
      </c>
      <c r="G43" s="10" cm="1" t="str">
        <f t="array" ref="G43">IF(F43="","",SUBSTITUTE(SUBSTITUTE(SUBSTITUTE(SUBSTITUTE(F43,"&lt;li&gt;",CHAR(10)),"&lt;/li&gt;",""),"&lt;br&gt;",CHAR(10)),"&lt;strong&gt;",""))</f>
        <v>&lt;p&gt;Aucune activité menée sur le prospect. Infos disponibles : Opportunité European Organization for Nuclear Research (CERN), grand laboratoire de physique des particules, plus de 2 500 employés, 12 000 scientifiques, connu pour le LHC. Aucune action, échange ou retour prospect enregistré à ce jour.&lt;/p&gt;</v>
      </c>
      <c r="H43" s="10" cm="1" t="str">
        <f t="array" ref="H43">IF(G43="","",SUBSTITUTE(SUBSTITUTE(SUBSTITUTE(SUBSTITUTE(SUBSTITUTE(G43,"&lt;p&gt;",""),"&lt;/p&gt;",""),"&lt;ul&gt;",""),"&lt;/ul&gt;",""),"&lt;/strong&gt;",""))</f>
        <v>Aucune activité menée sur le prospect. Infos disponibles : Opportunité European Organization for Nuclear Research (CERN), grand laboratoire de physique des particules, plus de 2 500 employés, 12 000 scientifiques, connu pour le LHC. Aucune action, échange ou retour prospect enregistré à ce jour.</v>
      </c>
      <c r="I43" s="11" cm="1" t="str">
        <f t="array" ref="I43">IF(C43="","",IF(OR(H43="",H43=0,H43=FALSE),"-",H43))</f>
        <v>Aucune activité menée sur le prospect. Infos disponibles : Opportunité European Organization for Nuclear Research (CERN), grand laboratoire de physique des particules, plus de 2 500 employés, 12 000 scientifiques, connu pour le LHC. Aucune action, échange ou retour prospect enregistré à ce jour.</v>
      </c>
      <c r="J43" s="5">
</c>
      <c r="K43" s="6" t="s">
        <v>57</v>
      </c>
      <c r="L43" s="6" cm="1" t="str">
        <f t="array" ref="L43">IF(C43="","",IF(K43="Mort / Plus rien à faire","KO","OK"))</f>
        <v>OK</v>
      </c>
      <c r="M43" s="12">
        <v>45999.77061342593</v>
      </c>
      <c r="N43" s="12" cm="1" t="n">
        <f t="array" ref="N43">IF(OR(C43="",M43="",M43=0),"",M43)</f>
        <v>45999.77061342593</v>
      </c>
      <c r="O43" s="12">
</c>
      <c r="P43" s="12" cm="1" t="str">
        <f t="array" ref="P43">IF(C43="","",IF(OR(O43="",O43=0),"-",O43))</f>
        <v>-</v>
      </c>
      <c r="Q43" s="13">
        <v>0</v>
      </c>
      <c r="R43" s="9" cm="1" t="str">
        <f t="array" ref="R43">IF(C43="","",ROUND(Q43/1000000,3)&amp;" M€")</f>
        <v>0 M€</v>
      </c>
      <c r="S43" s="9" t="s">
        <v>139</v>
      </c>
      <c r="T43" s="9" cm="1" t="str">
        <f t="array" ref="T43">IF(C43="","",SUBSTITUTE(S43,"","")&amp;"%")</f>
        <v>0%</v>
      </c>
      <c r="U43" s="11" cm="1" t="str">
        <f t="array" ref="U43">IF(($N43="")*($P43=""),"",IF(($N43&lt;&gt;"")*($N43&gt;TODAY()-9)*($N43&lt;TODAY()+1)*($P43&lt;&gt;"")*($P43&gt;=TODAY())*($P43&lt;=TODAY()+13),"Semaine passée &amp; à venir",IF(($N43&lt;&gt;"")*($N43&gt;TODAY()-9)*($N43&lt;TODAY()+1),"Semaine passée",IF(($P43&lt;&gt;"")*($P43&gt;=TODAY())*($P43&lt;=TODAY()+13),"À venir","Autre"))))</f>
        <v>Autre</v>
      </c>
      <c r="V43" s="5" cm="1" t="n">
        <f t="array" ref="V43">IF(C43&lt;&gt;"",1,0)</f>
        <v>1</v>
      </c>
      <c r="W43" s="5">
</c>
      <c r="X43" s="5">
</c>
      <c r="Y43" s="5">
</c>
      <c r="Z43" s="5">
</c>
      <c r="AA43" s="5">
</c>
      <c r="AB43" s="5">
</c>
      <c r="AC43" s="5">
</c>
      <c r="AD43" s="5">
</c>
      <c r="AE43" s="5">
</c>
      <c r="AF43" s="5">
</c>
      <c r="AG43" s="5">
</c>
      <c r="AH43" s="5">
</c>
      <c r="AI43" s="5">
</c>
      <c r="AJ43" s="5">
</c>
    </row>
    <row r="44" ht="81" customHeight="1">
      <c r="A44" s="6" t="s">
        <v>23</v>
      </c>
      <c r="B44" s="6" t="s">
        <v>49</v>
      </c>
      <c r="C44" s="9" t="s">
        <v>181</v>
      </c>
      <c r="D44" s="9" t="s">
        <v>182</v>
      </c>
      <c r="E44" s="6" t="s">
        <v>27</v>
      </c>
      <c r="F44" s="5" t="s">
        <v>183</v>
      </c>
      <c r="G44" s="10" cm="1" t="str">
        <f t="array" ref="G44">IF(F44="","",SUBSTITUTE(SUBSTITUTE(SUBSTITUTE(SUBSTITUTE(F44,"&lt;li&gt;",CHAR(10)),"&lt;/li&gt;",""),"&lt;br&gt;",CHAR(10)),"&lt;strong&gt;",""))</f>
        <v>&lt;p&gt;Leovic confirme : pas de PE defense, pas de VC. Aucun intérêt pour ces fonds exprimé par le prospect. Dernière activité le 13/04/2026. Pas de prochaines actions prévues à ce stade. Aucun retour ou demande complémentaire identifié dans les échanges récents.&lt;/p&gt;</v>
      </c>
      <c r="H44" s="10" cm="1" t="str">
        <f t="array" ref="H44">IF(G44="","",SUBSTITUTE(SUBSTITUTE(SUBSTITUTE(SUBSTITUTE(SUBSTITUTE(G44,"&lt;p&gt;",""),"&lt;/p&gt;",""),"&lt;ul&gt;",""),"&lt;/ul&gt;",""),"&lt;/strong&gt;",""))</f>
        <v>Leovic confirme : pas de PE defense, pas de VC. Aucun intérêt pour ces fonds exprimé par le prospect. Dernière activité le 13/04/2026. Pas de prochaines actions prévues à ce stade. Aucun retour ou demande complémentaire identifié dans les échanges récents.</v>
      </c>
      <c r="I44" s="11" cm="1" t="str">
        <f t="array" ref="I44">IF(C44="","",IF(OR(H44="",H44=0,H44=FALSE),"-",H44))</f>
        <v>Leovic confirme : pas de PE defense, pas de VC. Aucun intérêt pour ces fonds exprimé par le prospect. Dernière activité le 13/04/2026. Pas de prochaines actions prévues à ce stade. Aucun retour ou demande complémentaire identifié dans les échanges récents.</v>
      </c>
      <c r="J44" s="5" t="s">
        <v>184</v>
      </c>
      <c r="K44" s="6" t="s">
        <v>29</v>
      </c>
      <c r="L44" s="6" cm="1" t="str">
        <f t="array" ref="L44">IF(C44="","",IF(K44="Mort / Plus rien à faire","KO","OK"))</f>
        <v>KO</v>
      </c>
      <c r="M44" s="12">
        <v>46139.41275462963</v>
      </c>
      <c r="N44" s="12" cm="1" t="n">
        <f t="array" ref="N44">IF(OR(C44="",M44="",M44=0),"",M44)</f>
        <v>46139.41275462963</v>
      </c>
      <c r="O44" s="12">
        <v>46391.041666666664</v>
      </c>
      <c r="P44" s="12" cm="1" t="n">
        <f t="array" ref="P44">IF(C44="","",IF(OR(O44="",O44=0),"-",O44))</f>
        <v>46391.041666666664</v>
      </c>
      <c r="Q44" s="13">
        <v>0</v>
      </c>
      <c r="R44" s="9" cm="1" t="str">
        <f t="array" ref="R44">IF(C44="","",ROUND(Q44/1000000,3)&amp;" M€")</f>
        <v>0 M€</v>
      </c>
      <c r="S44" s="9" t="s">
        <v>139</v>
      </c>
      <c r="T44" s="9" cm="1" t="str">
        <f t="array" ref="T44">IF(C44="","",SUBSTITUTE(S44,"","")&amp;"%")</f>
        <v>0%</v>
      </c>
      <c r="U44" s="11" cm="1" t="str">
        <f t="array" ref="U44">IF(($N44="")*($P44=""),"",IF(($N44&lt;&gt;"")*($N44&gt;TODAY()-9)*($N44&lt;TODAY()+1)*($P44&lt;&gt;"")*($P44&gt;=TODAY())*($P44&lt;=TODAY()+13),"Semaine passée &amp; à venir",IF(($N44&lt;&gt;"")*($N44&gt;TODAY()-9)*($N44&lt;TODAY()+1),"Semaine passée",IF(($P44&lt;&gt;"")*($P44&gt;=TODAY())*($P44&lt;=TODAY()+13),"À venir","Autre"))))</f>
        <v>Autre</v>
      </c>
      <c r="V44" s="5" cm="1" t="n">
        <f t="array" ref="V44">IF(C44&lt;&gt;"",1,0)</f>
        <v>1</v>
      </c>
      <c r="W44" s="5">
</c>
      <c r="X44" s="5">
</c>
      <c r="Y44" s="5">
</c>
      <c r="Z44" s="5">
</c>
      <c r="AA44" s="5">
</c>
      <c r="AB44" s="5">
</c>
      <c r="AC44" s="5">
</c>
      <c r="AD44" s="5">
</c>
      <c r="AE44" s="5">
</c>
      <c r="AF44" s="5">
</c>
      <c r="AG44" s="5">
</c>
      <c r="AH44" s="5">
</c>
      <c r="AI44" s="5">
</c>
      <c r="AJ44" s="5">
</c>
    </row>
    <row r="45" ht="81" customHeight="1">
      <c r="A45" s="6" t="s">
        <v>23</v>
      </c>
      <c r="B45" s="6" t="s">
        <v>69</v>
      </c>
      <c r="C45" s="9" t="s">
        <v>185</v>
      </c>
      <c r="D45" s="9" t="s">
        <v>186</v>
      </c>
      <c r="E45" s="6" t="s">
        <v>27</v>
      </c>
      <c r="F45" s="5" t="s">
        <v>187</v>
      </c>
      <c r="G45" s="10" cm="1" t="str">
        <f t="array" ref="G45">IF(F45="","",SUBSTITUTE(SUBSTITUTE(SUBSTITUTE(SUBSTITUTE(F45,"&lt;li&gt;",CHAR(10)),"&lt;/li&gt;",""),"&lt;br&gt;",CHAR(10)),"&lt;strong&gt;",""))</f>
        <v>&lt;p&gt;Aucune activité menée sur le prospect. Nouvelle piste créée pour l'équipe Ventes, aucun échange ou action complémentaire enregistrée à ce jour, pas de retour ni d'étape suivante identifiée. Suivi à initier, aucune interaction ou feedback prospect recensé pour l'instant.&lt;/p&gt;</v>
      </c>
      <c r="H45" s="10" cm="1" t="str">
        <f t="array" ref="H45">IF(G45="","",SUBSTITUTE(SUBSTITUTE(SUBSTITUTE(SUBSTITUTE(SUBSTITUTE(G45,"&lt;p&gt;",""),"&lt;/p&gt;",""),"&lt;ul&gt;",""),"&lt;/ul&gt;",""),"&lt;/strong&gt;",""))</f>
        <v>Aucune activité menée sur le prospect. Nouvelle piste créée pour l'équipe Ventes, aucun échange ou action complémentaire enregistrée à ce jour, pas de retour ni d'étape suivante identifiée. Suivi à initier, aucune interaction ou feedback prospect recensé pour l'instant.</v>
      </c>
      <c r="I45" s="11" cm="1" t="str">
        <f t="array" ref="I45">IF(C45="","",IF(OR(H45="",H45=0,H45=FALSE),"-",H45))</f>
        <v>Aucune activité menée sur le prospect. Nouvelle piste créée pour l'équipe Ventes, aucun échange ou action complémentaire enregistrée à ce jour, pas de retour ni d'étape suivante identifiée. Suivi à initier, aucune interaction ou feedback prospect recensé pour l'instant.</v>
      </c>
      <c r="J45" s="5" t="s">
        <v>188</v>
      </c>
      <c r="K45" s="6" t="s">
        <v>57</v>
      </c>
      <c r="L45" s="6" cm="1" t="str">
        <f t="array" ref="L45">IF(C45="","",IF(K45="Mort / Plus rien à faire","KO","OK"))</f>
        <v>OK</v>
      </c>
      <c r="M45" s="12">
        <v>46127.352164351854</v>
      </c>
      <c r="N45" s="12" cm="1" t="n">
        <f t="array" ref="N45">IF(OR(C45="",M45="",M45=0),"",M45)</f>
        <v>46127.352164351854</v>
      </c>
      <c r="O45" s="12">
</c>
      <c r="P45" s="12" cm="1" t="str">
        <f t="array" ref="P45">IF(C45="","",IF(OR(O45="",O45=0),"-",O45))</f>
        <v>-</v>
      </c>
      <c r="Q45" s="13">
        <v>0</v>
      </c>
      <c r="R45" s="9" cm="1" t="str">
        <f t="array" ref="R45">IF(C45="","",ROUND(Q45/1000000,3)&amp;" M€")</f>
        <v>0 M€</v>
      </c>
      <c r="S45" s="9" t="s">
        <v>139</v>
      </c>
      <c r="T45" s="9" cm="1" t="str">
        <f t="array" ref="T45">IF(C45="","",SUBSTITUTE(S45,"","")&amp;"%")</f>
        <v>0%</v>
      </c>
      <c r="U45" s="11" cm="1" t="str">
        <f t="array" ref="U45">IF(($N45="")*($P45=""),"",IF(($N45&lt;&gt;"")*($N45&gt;TODAY()-9)*($N45&lt;TODAY()+1)*($P45&lt;&gt;"")*($P45&gt;=TODAY())*($P45&lt;=TODAY()+13),"Semaine passée &amp; à venir",IF(($N45&lt;&gt;"")*($N45&gt;TODAY()-9)*($N45&lt;TODAY()+1),"Semaine passée",IF(($P45&lt;&gt;"")*($P45&gt;=TODAY())*($P45&lt;=TODAY()+13),"À venir","Autre"))))</f>
        <v>Autre</v>
      </c>
      <c r="V45" s="5" cm="1" t="n">
        <f t="array" ref="V45">IF(C45&lt;&gt;"",1,0)</f>
        <v>1</v>
      </c>
      <c r="W45" s="5">
</c>
      <c r="X45" s="5">
</c>
      <c r="Y45" s="5">
</c>
      <c r="Z45" s="5">
</c>
      <c r="AA45" s="5">
</c>
      <c r="AB45" s="5">
</c>
      <c r="AC45" s="5">
</c>
      <c r="AD45" s="5">
</c>
      <c r="AE45" s="5">
</c>
      <c r="AF45" s="5">
</c>
      <c r="AG45" s="5">
</c>
      <c r="AH45" s="5">
</c>
      <c r="AI45" s="5">
</c>
      <c r="AJ45" s="5">
</c>
    </row>
    <row r="46" ht="81" customHeight="1">
      <c r="A46" s="6">
</c>
      <c r="B46" s="6">
</c>
      <c r="C46" s="9">
</c>
      <c r="D46" s="9">
</c>
      <c r="E46" s="6">
</c>
      <c r="F46" s="5">
</c>
      <c r="G46" s="10" cm="1" t="str">
        <f t="array" ref="G46">IF(F46="","",SUBSTITUTE(SUBSTITUTE(SUBSTITUTE(SUBSTITUTE(F46,"&lt;li&gt;",CHAR(10)),"&lt;/li&gt;",""),"&lt;br&gt;",CHAR(10)),"&lt;strong&gt;",""))</f>
        <v/>
      </c>
      <c r="H46" s="10" cm="1" t="str">
        <f t="array" ref="H46">IF(G46="","",SUBSTITUTE(SUBSTITUTE(SUBSTITUTE(SUBSTITUTE(SUBSTITUTE(G46,"&lt;p&gt;",""),"&lt;/p&gt;",""),"&lt;ul&gt;",""),"&lt;/ul&gt;",""),"&lt;/strong&gt;",""))</f>
        <v/>
      </c>
      <c r="I46" s="11" cm="1" t="str">
        <f t="array" ref="I46">IF(C46="","",IF(OR(H46="",H46=0,H46=FALSE),"-",H46))</f>
        <v/>
      </c>
      <c r="J46" s="5">
</c>
      <c r="K46" s="6">
</c>
      <c r="L46" s="6" cm="1" t="str">
        <f t="array" ref="L46">IF(C46="","",IF(K46="Mort / Plus rien à faire","KO","OK"))</f>
        <v/>
      </c>
      <c r="M46" s="12">
</c>
      <c r="N46" s="12" cm="1" t="str">
        <f t="array" ref="N46">IF(OR(C46="",M46="",M46=0),"",M46)</f>
        <v/>
      </c>
      <c r="O46" s="12">
</c>
      <c r="P46" s="12" cm="1" t="str">
        <f t="array" ref="P46">IF(C46="","",IF(OR(O46="",O46=0),"-",O46))</f>
        <v/>
      </c>
      <c r="Q46" s="13">
</c>
      <c r="R46" s="9" cm="1" t="str">
        <f t="array" ref="R46">IF(C46="","",ROUND(Q46/1000000,3)&amp;" M€")</f>
        <v/>
      </c>
      <c r="S46" s="9">
</c>
      <c r="T46" s="9" cm="1" t="str">
        <f t="array" ref="T46">IF(C46="","",SUBSTITUTE(S46,"","")&amp;"%")</f>
        <v/>
      </c>
      <c r="U46" s="11" cm="1" t="str">
        <f t="array" ref="U46">IF(($N46="")*($P46=""),"",IF(($N46&lt;&gt;"")*($N46&gt;TODAY()-9)*($N46&lt;TODAY()+1)*($P46&lt;&gt;"")*($P46&gt;=TODAY())*($P46&lt;=TODAY()+13),"Semaine passée &amp; à venir",IF(($N46&lt;&gt;"")*($N46&gt;TODAY()-9)*($N46&lt;TODAY()+1),"Semaine passée",IF(($P46&lt;&gt;"")*($P46&gt;=TODAY())*($P46&lt;=TODAY()+13),"À venir","Autre"))))</f>
        <v/>
      </c>
      <c r="V46" s="5" cm="1" t="n">
        <f t="array" ref="V46">IF(C46&lt;&gt;"",1,0)</f>
        <v>0</v>
      </c>
      <c r="W46" s="5">
</c>
      <c r="X46" s="5">
</c>
      <c r="Y46" s="5">
</c>
      <c r="Z46" s="5">
</c>
      <c r="AA46" s="5">
</c>
      <c r="AB46" s="5">
</c>
      <c r="AC46" s="5">
</c>
      <c r="AD46" s="5">
</c>
      <c r="AE46" s="5">
</c>
      <c r="AF46" s="5">
</c>
      <c r="AG46" s="5">
</c>
      <c r="AH46" s="5">
</c>
      <c r="AI46" s="5">
</c>
      <c r="AJ46" s="5">
</c>
    </row>
    <row r="47" ht="81" customHeight="1">
      <c r="A47" s="6">
</c>
      <c r="B47" s="6">
</c>
      <c r="C47" s="9">
</c>
      <c r="D47" s="9">
</c>
      <c r="E47" s="6">
</c>
      <c r="F47" s="5">
</c>
      <c r="G47" s="10" cm="1" t="str">
        <f t="array" ref="G47">IF(F47="","",SUBSTITUTE(SUBSTITUTE(SUBSTITUTE(SUBSTITUTE(F47,"&lt;li&gt;",CHAR(10)),"&lt;/li&gt;",""),"&lt;br&gt;",CHAR(10)),"&lt;strong&gt;",""))</f>
        <v/>
      </c>
      <c r="H47" s="10" cm="1" t="str">
        <f t="array" ref="H47">IF(G47="","",SUBSTITUTE(SUBSTITUTE(SUBSTITUTE(SUBSTITUTE(SUBSTITUTE(G47,"&lt;p&gt;",""),"&lt;/p&gt;",""),"&lt;ul&gt;",""),"&lt;/ul&gt;",""),"&lt;/strong&gt;",""))</f>
        <v/>
      </c>
      <c r="I47" s="11" cm="1" t="str">
        <f t="array" ref="I47">IF(C47="","",IF(OR(H47="",H47=0,H47=FALSE),"-",H47))</f>
        <v/>
      </c>
      <c r="J47" s="5">
</c>
      <c r="K47" s="6">
</c>
      <c r="L47" s="6" cm="1" t="str">
        <f t="array" ref="L47">IF(C47="","",IF(K47="Mort / Plus rien à faire","KO","OK"))</f>
        <v/>
      </c>
      <c r="M47" s="12">
</c>
      <c r="N47" s="12" cm="1" t="str">
        <f t="array" ref="N47">IF(OR(C47="",M47="",M47=0),"",M47)</f>
        <v/>
      </c>
      <c r="O47" s="12">
</c>
      <c r="P47" s="12" cm="1" t="str">
        <f t="array" ref="P47">IF(C47="","",IF(OR(O47="",O47=0),"-",O47))</f>
        <v/>
      </c>
      <c r="Q47" s="13">
</c>
      <c r="R47" s="9" cm="1" t="str">
        <f t="array" ref="R47">IF(C47="","",ROUND(Q47/1000000,3)&amp;" M€")</f>
        <v/>
      </c>
      <c r="S47" s="9">
</c>
      <c r="T47" s="9" cm="1" t="str">
        <f t="array" ref="T47">IF(C47="","",SUBSTITUTE(S47,"","")&amp;"%")</f>
        <v/>
      </c>
      <c r="U47" s="11" cm="1" t="str">
        <f t="array" ref="U47">IF(($N47="")*($P47=""),"",IF(($N47&lt;&gt;"")*($N47&gt;TODAY()-9)*($N47&lt;TODAY()+1)*($P47&lt;&gt;"")*($P47&gt;=TODAY())*($P47&lt;=TODAY()+13),"Semaine passée &amp; à venir",IF(($N47&lt;&gt;"")*($N47&gt;TODAY()-9)*($N47&lt;TODAY()+1),"Semaine passée",IF(($P47&lt;&gt;"")*($P47&gt;=TODAY())*($P47&lt;=TODAY()+13),"À venir","Autre"))))</f>
        <v/>
      </c>
      <c r="V47" s="5" cm="1" t="n">
        <f t="array" ref="V47">IF(C47&lt;&gt;"",1,0)</f>
        <v>0</v>
      </c>
      <c r="W47" s="5">
</c>
      <c r="X47" s="5">
</c>
      <c r="Y47" s="5">
</c>
      <c r="Z47" s="5">
</c>
      <c r="AA47" s="5">
</c>
      <c r="AB47" s="5">
</c>
      <c r="AC47" s="5">
</c>
      <c r="AD47" s="5">
</c>
      <c r="AE47" s="5">
</c>
      <c r="AF47" s="5">
</c>
      <c r="AG47" s="5">
</c>
      <c r="AH47" s="5">
</c>
      <c r="AI47" s="5">
</c>
      <c r="AJ47" s="5">
</c>
    </row>
    <row r="48" ht="81" customHeight="1">
      <c r="A48" s="6">
</c>
      <c r="B48" s="6">
</c>
      <c r="C48" s="9">
</c>
      <c r="D48" s="9">
</c>
      <c r="E48" s="6">
</c>
      <c r="F48" s="5">
</c>
      <c r="G48" s="10" cm="1" t="str">
        <f t="array" ref="G48">IF(F48="","",SUBSTITUTE(SUBSTITUTE(SUBSTITUTE(SUBSTITUTE(F48,"&lt;li&gt;",CHAR(10)),"&lt;/li&gt;",""),"&lt;br&gt;",CHAR(10)),"&lt;strong&gt;",""))</f>
        <v/>
      </c>
      <c r="H48" s="10" cm="1" t="str">
        <f t="array" ref="H48">IF(G48="","",SUBSTITUTE(SUBSTITUTE(SUBSTITUTE(SUBSTITUTE(SUBSTITUTE(G48,"&lt;p&gt;",""),"&lt;/p&gt;",""),"&lt;ul&gt;",""),"&lt;/ul&gt;",""),"&lt;/strong&gt;",""))</f>
        <v/>
      </c>
      <c r="I48" s="11" cm="1" t="str">
        <f t="array" ref="I48">IF(C48="","",IF(OR(H48="",H48=0,H48=FALSE),"-",H48))</f>
        <v/>
      </c>
      <c r="J48" s="5">
</c>
      <c r="K48" s="6">
</c>
      <c r="L48" s="6" cm="1" t="str">
        <f t="array" ref="L48">IF(C48="","",IF(K48="Mort / Plus rien à faire","KO","OK"))</f>
        <v/>
      </c>
      <c r="M48" s="12">
</c>
      <c r="N48" s="12" cm="1" t="str">
        <f t="array" ref="N48">IF(OR(C48="",M48="",M48=0),"",M48)</f>
        <v/>
      </c>
      <c r="O48" s="12">
</c>
      <c r="P48" s="12" cm="1" t="str">
        <f t="array" ref="P48">IF(C48="","",IF(OR(O48="",O48=0),"-",O48))</f>
        <v/>
      </c>
      <c r="Q48" s="13">
</c>
      <c r="R48" s="9" cm="1" t="str">
        <f t="array" ref="R48">IF(C48="","",ROUND(Q48/1000000,3)&amp;" M€")</f>
        <v/>
      </c>
      <c r="S48" s="9">
</c>
      <c r="T48" s="9" cm="1" t="str">
        <f t="array" ref="T48">IF(C48="","",SUBSTITUTE(S48,"","")&amp;"%")</f>
        <v/>
      </c>
      <c r="U48" s="11" cm="1" t="str">
        <f t="array" ref="U48">IF(($N48="")*($P48=""),"",IF(($N48&lt;&gt;"")*($N48&gt;TODAY()-9)*($N48&lt;TODAY()+1)*($P48&lt;&gt;"")*($P48&gt;=TODAY())*($P48&lt;=TODAY()+13),"Semaine passée &amp; à venir",IF(($N48&lt;&gt;"")*($N48&gt;TODAY()-9)*($N48&lt;TODAY()+1),"Semaine passée",IF(($P48&lt;&gt;"")*($P48&gt;=TODAY())*($P48&lt;=TODAY()+13),"À venir","Autre"))))</f>
        <v/>
      </c>
      <c r="V48" s="5" cm="1" t="n">
        <f t="array" ref="V48">IF(C48&lt;&gt;"",1,0)</f>
        <v>0</v>
      </c>
      <c r="W48" s="5">
</c>
      <c r="X48" s="5">
</c>
      <c r="Y48" s="5">
</c>
      <c r="Z48" s="5">
</c>
      <c r="AA48" s="5">
</c>
      <c r="AB48" s="5">
</c>
      <c r="AC48" s="5">
</c>
      <c r="AD48" s="5">
</c>
      <c r="AE48" s="5">
</c>
      <c r="AF48" s="5">
</c>
      <c r="AG48" s="5">
</c>
      <c r="AH48" s="5">
</c>
      <c r="AI48" s="5">
</c>
      <c r="AJ48" s="5">
</c>
    </row>
    <row r="49" ht="81" customHeight="1">
      <c r="A49" s="6">
</c>
      <c r="B49" s="6">
</c>
      <c r="C49" s="9">
</c>
      <c r="D49" s="9">
</c>
      <c r="E49" s="6">
</c>
      <c r="F49" s="5">
</c>
      <c r="G49" s="10" cm="1" t="str">
        <f t="array" ref="G49">IF(F49="","",SUBSTITUTE(SUBSTITUTE(SUBSTITUTE(SUBSTITUTE(F49,"&lt;li&gt;",CHAR(10)),"&lt;/li&gt;",""),"&lt;br&gt;",CHAR(10)),"&lt;strong&gt;",""))</f>
        <v/>
      </c>
      <c r="H49" s="10" cm="1" t="str">
        <f t="array" ref="H49">IF(G49="","",SUBSTITUTE(SUBSTITUTE(SUBSTITUTE(SUBSTITUTE(SUBSTITUTE(G49,"&lt;p&gt;",""),"&lt;/p&gt;",""),"&lt;ul&gt;",""),"&lt;/ul&gt;",""),"&lt;/strong&gt;",""))</f>
        <v/>
      </c>
      <c r="I49" s="11" cm="1" t="str">
        <f t="array" ref="I49">IF(C49="","",IF(OR(H49="",H49=0,H49=FALSE),"-",H49))</f>
        <v/>
      </c>
      <c r="J49" s="5">
</c>
      <c r="K49" s="6">
</c>
      <c r="L49" s="6" cm="1" t="str">
        <f t="array" ref="L49">IF(C49="","",IF(K49="Mort / Plus rien à faire","KO","OK"))</f>
        <v/>
      </c>
      <c r="M49" s="12">
</c>
      <c r="N49" s="12" cm="1" t="str">
        <f t="array" ref="N49">IF(OR(C49="",M49="",M49=0),"",M49)</f>
        <v/>
      </c>
      <c r="O49" s="12">
</c>
      <c r="P49" s="12" cm="1" t="str">
        <f t="array" ref="P49">IF(C49="","",IF(OR(O49="",O49=0),"-",O49))</f>
        <v/>
      </c>
      <c r="Q49" s="13">
</c>
      <c r="R49" s="9" cm="1" t="str">
        <f t="array" ref="R49">IF(C49="","",ROUND(Q49/1000000,3)&amp;" M€")</f>
        <v/>
      </c>
      <c r="S49" s="9">
</c>
      <c r="T49" s="9" cm="1" t="str">
        <f t="array" ref="T49">IF(C49="","",SUBSTITUTE(S49,"","")&amp;"%")</f>
        <v/>
      </c>
      <c r="U49" s="11" cm="1" t="str">
        <f t="array" ref="U49">IF(($N49="")*($P49=""),"",IF(($N49&lt;&gt;"")*($N49&gt;TODAY()-9)*($N49&lt;TODAY()+1)*($P49&lt;&gt;"")*($P49&gt;=TODAY())*($P49&lt;=TODAY()+13),"Semaine passée &amp; à venir",IF(($N49&lt;&gt;"")*($N49&gt;TODAY()-9)*($N49&lt;TODAY()+1),"Semaine passée",IF(($P49&lt;&gt;"")*($P49&gt;=TODAY())*($P49&lt;=TODAY()+13),"À venir","Autre"))))</f>
        <v/>
      </c>
      <c r="V49" s="5" cm="1" t="n">
        <f t="array" ref="V49">IF(C49&lt;&gt;"",1,0)</f>
        <v>0</v>
      </c>
      <c r="W49" s="5">
</c>
      <c r="X49" s="5">
</c>
      <c r="Y49" s="5">
</c>
      <c r="Z49" s="5">
</c>
      <c r="AA49" s="5">
</c>
      <c r="AB49" s="5">
</c>
      <c r="AC49" s="5">
</c>
      <c r="AD49" s="5">
</c>
      <c r="AE49" s="5">
</c>
      <c r="AF49" s="5">
</c>
      <c r="AG49" s="5">
</c>
      <c r="AH49" s="5">
</c>
      <c r="AI49" s="5">
</c>
      <c r="AJ49" s="5">
</c>
    </row>
    <row r="50" ht="81" customHeight="1">
      <c r="A50" s="6">
</c>
      <c r="B50" s="6">
</c>
      <c r="C50" s="9">
</c>
      <c r="D50" s="9">
</c>
      <c r="E50" s="6">
</c>
      <c r="F50" s="5">
</c>
      <c r="G50" s="10" cm="1" t="str">
        <f t="array" ref="G50">IF(F50="","",SUBSTITUTE(SUBSTITUTE(SUBSTITUTE(SUBSTITUTE(F50,"&lt;li&gt;",CHAR(10)),"&lt;/li&gt;",""),"&lt;br&gt;",CHAR(10)),"&lt;strong&gt;",""))</f>
        <v/>
      </c>
      <c r="H50" s="10" cm="1" t="str">
        <f t="array" ref="H50">IF(G50="","",SUBSTITUTE(SUBSTITUTE(SUBSTITUTE(SUBSTITUTE(SUBSTITUTE(G50,"&lt;p&gt;",""),"&lt;/p&gt;",""),"&lt;ul&gt;",""),"&lt;/ul&gt;",""),"&lt;/strong&gt;",""))</f>
        <v/>
      </c>
      <c r="I50" s="11" cm="1" t="str">
        <f t="array" ref="I50">IF(C50="","",IF(OR(H50="",H50=0,H50=FALSE),"-",H50))</f>
        <v/>
      </c>
      <c r="J50" s="5">
</c>
      <c r="K50" s="6">
</c>
      <c r="L50" s="6" cm="1" t="str">
        <f t="array" ref="L50">IF(C50="","",IF(K50="Mort / Plus rien à faire","KO","OK"))</f>
        <v/>
      </c>
      <c r="M50" s="12">
</c>
      <c r="N50" s="12" cm="1" t="str">
        <f t="array" ref="N50">IF(OR(C50="",M50="",M50=0),"",M50)</f>
        <v/>
      </c>
      <c r="O50" s="12">
</c>
      <c r="P50" s="12" cm="1" t="str">
        <f t="array" ref="P50">IF(C50="","",IF(OR(O50="",O50=0),"-",O50))</f>
        <v/>
      </c>
      <c r="Q50" s="13">
</c>
      <c r="R50" s="9" cm="1" t="str">
        <f t="array" ref="R50">IF(C50="","",ROUND(Q50/1000000,3)&amp;" M€")</f>
        <v/>
      </c>
      <c r="S50" s="9">
</c>
      <c r="T50" s="9" cm="1" t="str">
        <f t="array" ref="T50">IF(C50="","",SUBSTITUTE(S50,"","")&amp;"%")</f>
        <v/>
      </c>
      <c r="U50" s="11" cm="1" t="str">
        <f t="array" ref="U50">IF(($N50="")*($P50=""),"",IF(($N50&lt;&gt;"")*($N50&gt;TODAY()-9)*($N50&lt;TODAY()+1)*($P50&lt;&gt;"")*($P50&gt;=TODAY())*($P50&lt;=TODAY()+13),"Semaine passée &amp; à venir",IF(($N50&lt;&gt;"")*($N50&gt;TODAY()-9)*($N50&lt;TODAY()+1),"Semaine passée",IF(($P50&lt;&gt;"")*($P50&gt;=TODAY())*($P50&lt;=TODAY()+13),"À venir","Autre"))))</f>
        <v/>
      </c>
      <c r="V50" s="5" cm="1" t="n">
        <f t="array" ref="V50">IF(C50&lt;&gt;"",1,0)</f>
        <v>0</v>
      </c>
      <c r="W50" s="5">
</c>
      <c r="X50" s="5">
</c>
      <c r="Y50" s="5">
</c>
      <c r="Z50" s="5">
</c>
      <c r="AA50" s="5">
</c>
      <c r="AB50" s="5">
</c>
      <c r="AC50" s="5">
</c>
      <c r="AD50" s="5">
</c>
      <c r="AE50" s="5">
</c>
      <c r="AF50" s="5">
</c>
      <c r="AG50" s="5">
</c>
      <c r="AH50" s="5">
</c>
      <c r="AI50" s="5">
</c>
      <c r="AJ50" s="5">
</c>
    </row>
    <row r="51" ht="81" customHeight="1">
      <c r="A51" s="6">
</c>
      <c r="B51" s="6">
</c>
      <c r="C51" s="9">
</c>
      <c r="D51" s="9">
</c>
      <c r="E51" s="6">
</c>
      <c r="F51" s="5">
</c>
      <c r="G51" s="10" cm="1" t="str">
        <f t="array" ref="G51">IF(F51="","",SUBSTITUTE(SUBSTITUTE(SUBSTITUTE(SUBSTITUTE(F51,"&lt;li&gt;",CHAR(10)),"&lt;/li&gt;",""),"&lt;br&gt;",CHAR(10)),"&lt;strong&gt;",""))</f>
        <v/>
      </c>
      <c r="H51" s="10" cm="1" t="str">
        <f t="array" ref="H51">IF(G51="","",SUBSTITUTE(SUBSTITUTE(SUBSTITUTE(SUBSTITUTE(SUBSTITUTE(G51,"&lt;p&gt;",""),"&lt;/p&gt;",""),"&lt;ul&gt;",""),"&lt;/ul&gt;",""),"&lt;/strong&gt;",""))</f>
        <v/>
      </c>
      <c r="I51" s="11" cm="1" t="str">
        <f t="array" ref="I51">IF(C51="","",IF(OR(H51="",H51=0,H51=FALSE),"-",H51))</f>
        <v/>
      </c>
      <c r="J51" s="5">
</c>
      <c r="K51" s="6">
</c>
      <c r="L51" s="6" cm="1" t="str">
        <f t="array" ref="L51">IF(C51="","",IF(K51="Mort / Plus rien à faire","KO","OK"))</f>
        <v/>
      </c>
      <c r="M51" s="12">
</c>
      <c r="N51" s="12" cm="1" t="str">
        <f t="array" ref="N51">IF(OR(C51="",M51="",M51=0),"",M51)</f>
        <v/>
      </c>
      <c r="O51" s="12">
</c>
      <c r="P51" s="12" cm="1" t="str">
        <f t="array" ref="P51">IF(C51="","",IF(OR(O51="",O51=0),"-",O51))</f>
        <v/>
      </c>
      <c r="Q51" s="13">
</c>
      <c r="R51" s="9" cm="1" t="str">
        <f t="array" ref="R51">IF(C51="","",ROUND(Q51/1000000,3)&amp;" M€")</f>
        <v/>
      </c>
      <c r="S51" s="9">
</c>
      <c r="T51" s="9" cm="1" t="str">
        <f t="array" ref="T51">IF(C51="","",SUBSTITUTE(S51,"","")&amp;"%")</f>
        <v/>
      </c>
      <c r="U51" s="11" cm="1" t="str">
        <f t="array" ref="U51">IF(($N51="")*($P51=""),"",IF(($N51&lt;&gt;"")*($N51&gt;TODAY()-9)*($N51&lt;TODAY()+1)*($P51&lt;&gt;"")*($P51&gt;=TODAY())*($P51&lt;=TODAY()+13),"Semaine passée &amp; à venir",IF(($N51&lt;&gt;"")*($N51&gt;TODAY()-9)*($N51&lt;TODAY()+1),"Semaine passée",IF(($P51&lt;&gt;"")*($P51&gt;=TODAY())*($P51&lt;=TODAY()+13),"À venir","Autre"))))</f>
        <v/>
      </c>
      <c r="V51" s="5" cm="1" t="n">
        <f t="array" ref="V51">IF(C51&lt;&gt;"",1,0)</f>
        <v>0</v>
      </c>
      <c r="W51" s="5">
</c>
      <c r="X51" s="5">
</c>
      <c r="Y51" s="5">
</c>
      <c r="Z51" s="5">
</c>
      <c r="AA51" s="5">
</c>
      <c r="AB51" s="5">
</c>
      <c r="AC51" s="5">
</c>
      <c r="AD51" s="5">
</c>
      <c r="AE51" s="5">
</c>
      <c r="AF51" s="5">
</c>
      <c r="AG51" s="5">
</c>
      <c r="AH51" s="5">
</c>
      <c r="AI51" s="5">
</c>
      <c r="AJ51" s="5">
</c>
    </row>
    <row r="52" ht="81" customHeight="1">
      <c r="A52" s="6">
</c>
      <c r="B52" s="6">
</c>
      <c r="C52" s="9">
</c>
      <c r="D52" s="9">
</c>
      <c r="E52" s="6">
</c>
      <c r="F52" s="5">
</c>
      <c r="G52" s="10" cm="1" t="str">
        <f t="array" ref="G52">IF(F52="","",SUBSTITUTE(SUBSTITUTE(SUBSTITUTE(SUBSTITUTE(F52,"&lt;li&gt;",CHAR(10)),"&lt;/li&gt;",""),"&lt;br&gt;",CHAR(10)),"&lt;strong&gt;",""))</f>
        <v/>
      </c>
      <c r="H52" s="10" cm="1" t="str">
        <f t="array" ref="H52">IF(G52="","",SUBSTITUTE(SUBSTITUTE(SUBSTITUTE(SUBSTITUTE(SUBSTITUTE(G52,"&lt;p&gt;",""),"&lt;/p&gt;",""),"&lt;ul&gt;",""),"&lt;/ul&gt;",""),"&lt;/strong&gt;",""))</f>
        <v/>
      </c>
      <c r="I52" s="11" cm="1" t="str">
        <f t="array" ref="I52">IF(C52="","",IF(OR(H52="",H52=0,H52=FALSE),"-",H52))</f>
        <v/>
      </c>
      <c r="J52" s="5">
</c>
      <c r="K52" s="6">
</c>
      <c r="L52" s="6" cm="1" t="str">
        <f t="array" ref="L52">IF(C52="","",IF(K52="Mort / Plus rien à faire","KO","OK"))</f>
        <v/>
      </c>
      <c r="M52" s="12">
</c>
      <c r="N52" s="12" cm="1" t="str">
        <f t="array" ref="N52">IF(OR(C52="",M52="",M52=0),"",M52)</f>
        <v/>
      </c>
      <c r="O52" s="12">
</c>
      <c r="P52" s="12" cm="1" t="str">
        <f t="array" ref="P52">IF(C52="","",IF(OR(O52="",O52=0),"-",O52))</f>
        <v/>
      </c>
      <c r="Q52" s="13">
</c>
      <c r="R52" s="9" cm="1" t="str">
        <f t="array" ref="R52">IF(C52="","",ROUND(Q52/1000000,3)&amp;" M€")</f>
        <v/>
      </c>
      <c r="S52" s="9">
</c>
      <c r="T52" s="9" cm="1" t="str">
        <f t="array" ref="T52">IF(C52="","",SUBSTITUTE(S52,"","")&amp;"%")</f>
        <v/>
      </c>
      <c r="U52" s="11" cm="1" t="str">
        <f t="array" ref="U52">IF(($N52="")*($P52=""),"",IF(($N52&lt;&gt;"")*($N52&gt;TODAY()-9)*($N52&lt;TODAY()+1)*($P52&lt;&gt;"")*($P52&gt;=TODAY())*($P52&lt;=TODAY()+13),"Semaine passée &amp; à venir",IF(($N52&lt;&gt;"")*($N52&gt;TODAY()-9)*($N52&lt;TODAY()+1),"Semaine passée",IF(($P52&lt;&gt;"")*($P52&gt;=TODAY())*($P52&lt;=TODAY()+13),"À venir","Autre"))))</f>
        <v/>
      </c>
      <c r="V52" s="5" cm="1" t="n">
        <f t="array" ref="V52">IF(C52&lt;&gt;"",1,0)</f>
        <v>0</v>
      </c>
      <c r="W52" s="5">
</c>
      <c r="X52" s="5">
</c>
      <c r="Y52" s="5">
</c>
      <c r="Z52" s="5">
</c>
      <c r="AA52" s="5">
</c>
      <c r="AB52" s="5">
</c>
      <c r="AC52" s="5">
</c>
      <c r="AD52" s="5">
</c>
      <c r="AE52" s="5">
</c>
      <c r="AF52" s="5">
</c>
      <c r="AG52" s="5">
</c>
      <c r="AH52" s="5">
</c>
      <c r="AI52" s="5">
</c>
      <c r="AJ52" s="5">
</c>
    </row>
    <row r="53" ht="81" customHeight="1">
      <c r="A53" s="6">
</c>
      <c r="B53" s="6">
</c>
      <c r="C53" s="9">
</c>
      <c r="D53" s="9">
</c>
      <c r="E53" s="6">
</c>
      <c r="F53" s="5">
</c>
      <c r="G53" s="10" cm="1" t="str">
        <f t="array" ref="G53">IF(F53="","",SUBSTITUTE(SUBSTITUTE(SUBSTITUTE(SUBSTITUTE(F53,"&lt;li&gt;",CHAR(10)),"&lt;/li&gt;",""),"&lt;br&gt;",CHAR(10)),"&lt;strong&gt;",""))</f>
        <v/>
      </c>
      <c r="H53" s="10" cm="1" t="str">
        <f t="array" ref="H53">IF(G53="","",SUBSTITUTE(SUBSTITUTE(SUBSTITUTE(SUBSTITUTE(SUBSTITUTE(G53,"&lt;p&gt;",""),"&lt;/p&gt;",""),"&lt;ul&gt;",""),"&lt;/ul&gt;",""),"&lt;/strong&gt;",""))</f>
        <v/>
      </c>
      <c r="I53" s="11" cm="1" t="str">
        <f t="array" ref="I53">IF(C53="","",IF(OR(H53="",H53=0,H53=FALSE),"-",H53))</f>
        <v/>
      </c>
      <c r="J53" s="5">
</c>
      <c r="K53" s="6">
</c>
      <c r="L53" s="6" cm="1" t="str">
        <f t="array" ref="L53">IF(C53="","",IF(K53="Mort / Plus rien à faire","KO","OK"))</f>
        <v/>
      </c>
      <c r="M53" s="12">
</c>
      <c r="N53" s="12" cm="1" t="str">
        <f t="array" ref="N53">IF(OR(C53="",M53="",M53=0),"",M53)</f>
        <v/>
      </c>
      <c r="O53" s="12">
</c>
      <c r="P53" s="12" cm="1" t="str">
        <f t="array" ref="P53">IF(C53="","",IF(OR(O53="",O53=0),"-",O53))</f>
        <v/>
      </c>
      <c r="Q53" s="13">
</c>
      <c r="R53" s="9" cm="1" t="str">
        <f t="array" ref="R53">IF(C53="","",ROUND(Q53/1000000,3)&amp;" M€")</f>
        <v/>
      </c>
      <c r="S53" s="9">
</c>
      <c r="T53" s="9" cm="1" t="str">
        <f t="array" ref="T53">IF(C53="","",SUBSTITUTE(S53,"","")&amp;"%")</f>
        <v/>
      </c>
      <c r="U53" s="11" cm="1" t="str">
        <f t="array" ref="U53">IF(($N53="")*($P53=""),"",IF(($N53&lt;&gt;"")*($N53&gt;TODAY()-9)*($N53&lt;TODAY()+1)*($P53&lt;&gt;"")*($P53&gt;=TODAY())*($P53&lt;=TODAY()+13),"Semaine passée &amp; à venir",IF(($N53&lt;&gt;"")*($N53&gt;TODAY()-9)*($N53&lt;TODAY()+1),"Semaine passée",IF(($P53&lt;&gt;"")*($P53&gt;=TODAY())*($P53&lt;=TODAY()+13),"À venir","Autre"))))</f>
        <v/>
      </c>
      <c r="V53" s="5" cm="1" t="n">
        <f t="array" ref="V53">IF(C53&lt;&gt;"",1,0)</f>
        <v>0</v>
      </c>
      <c r="W53" s="5">
</c>
      <c r="X53" s="5">
</c>
      <c r="Y53" s="5">
</c>
      <c r="Z53" s="5">
</c>
      <c r="AA53" s="5">
</c>
      <c r="AB53" s="5">
</c>
      <c r="AC53" s="5">
</c>
      <c r="AD53" s="5">
</c>
      <c r="AE53" s="5">
</c>
      <c r="AF53" s="5">
</c>
      <c r="AG53" s="5">
</c>
      <c r="AH53" s="5">
</c>
      <c r="AI53" s="5">
</c>
      <c r="AJ53" s="5">
</c>
    </row>
    <row r="54" ht="81" customHeight="1">
      <c r="A54" s="6">
</c>
      <c r="B54" s="6">
</c>
      <c r="C54" s="9">
</c>
      <c r="D54" s="9">
</c>
      <c r="E54" s="6">
</c>
      <c r="F54" s="5">
</c>
      <c r="G54" s="10" cm="1" t="str">
        <f t="array" ref="G54">IF(F54="","",SUBSTITUTE(SUBSTITUTE(SUBSTITUTE(SUBSTITUTE(F54,"&lt;li&gt;",CHAR(10)),"&lt;/li&gt;",""),"&lt;br&gt;",CHAR(10)),"&lt;strong&gt;",""))</f>
        <v/>
      </c>
      <c r="H54" s="10" cm="1" t="str">
        <f t="array" ref="H54">IF(G54="","",SUBSTITUTE(SUBSTITUTE(SUBSTITUTE(SUBSTITUTE(SUBSTITUTE(G54,"&lt;p&gt;",""),"&lt;/p&gt;",""),"&lt;ul&gt;",""),"&lt;/ul&gt;",""),"&lt;/strong&gt;",""))</f>
        <v/>
      </c>
      <c r="I54" s="11" cm="1" t="str">
        <f t="array" ref="I54">IF(C54="","",IF(OR(H54="",H54=0,H54=FALSE),"-",H54))</f>
        <v/>
      </c>
      <c r="J54" s="5">
</c>
      <c r="K54" s="6">
</c>
      <c r="L54" s="6" cm="1" t="str">
        <f t="array" ref="L54">IF(C54="","",IF(K54="Mort / Plus rien à faire","KO","OK"))</f>
        <v/>
      </c>
      <c r="M54" s="12">
</c>
      <c r="N54" s="12" cm="1" t="str">
        <f t="array" ref="N54">IF(OR(C54="",M54="",M54=0),"",M54)</f>
        <v/>
      </c>
      <c r="O54" s="12">
</c>
      <c r="P54" s="12" cm="1" t="str">
        <f t="array" ref="P54">IF(C54="","",IF(OR(O54="",O54=0),"-",O54))</f>
        <v/>
      </c>
      <c r="Q54" s="13">
</c>
      <c r="R54" s="9" cm="1" t="str">
        <f t="array" ref="R54">IF(C54="","",ROUND(Q54/1000000,3)&amp;" M€")</f>
        <v/>
      </c>
      <c r="S54" s="9">
</c>
      <c r="T54" s="9" cm="1" t="str">
        <f t="array" ref="T54">IF(C54="","",SUBSTITUTE(S54,"","")&amp;"%")</f>
        <v/>
      </c>
      <c r="U54" s="11" cm="1" t="str">
        <f t="array" ref="U54">IF(($N54="")*($P54=""),"",IF(($N54&lt;&gt;"")*($N54&gt;TODAY()-9)*($N54&lt;TODAY()+1)*($P54&lt;&gt;"")*($P54&gt;=TODAY())*($P54&lt;=TODAY()+13),"Semaine passée &amp; à venir",IF(($N54&lt;&gt;"")*($N54&gt;TODAY()-9)*($N54&lt;TODAY()+1),"Semaine passée",IF(($P54&lt;&gt;"")*($P54&gt;=TODAY())*($P54&lt;=TODAY()+13),"À venir","Autre"))))</f>
        <v/>
      </c>
      <c r="V54" s="5" cm="1" t="n">
        <f t="array" ref="V54">IF(C54&lt;&gt;"",1,0)</f>
        <v>0</v>
      </c>
      <c r="W54" s="5">
</c>
      <c r="X54" s="5">
</c>
      <c r="Y54" s="5">
</c>
      <c r="Z54" s="5">
</c>
      <c r="AA54" s="5">
</c>
      <c r="AB54" s="5">
</c>
      <c r="AC54" s="5">
</c>
      <c r="AD54" s="5">
</c>
      <c r="AE54" s="5">
</c>
      <c r="AF54" s="5">
</c>
      <c r="AG54" s="5">
</c>
      <c r="AH54" s="5">
</c>
      <c r="AI54" s="5">
</c>
      <c r="AJ54" s="5">
</c>
    </row>
    <row r="55" ht="81" customHeight="1">
      <c r="A55" s="6">
</c>
      <c r="B55" s="6">
</c>
      <c r="C55" s="9">
</c>
      <c r="D55" s="9">
</c>
      <c r="E55" s="6">
</c>
      <c r="F55" s="5">
</c>
      <c r="G55" s="10" cm="1" t="str">
        <f t="array" ref="G55">IF(F55="","",SUBSTITUTE(SUBSTITUTE(SUBSTITUTE(SUBSTITUTE(F55,"&lt;li&gt;",CHAR(10)),"&lt;/li&gt;",""),"&lt;br&gt;",CHAR(10)),"&lt;strong&gt;",""))</f>
        <v/>
      </c>
      <c r="H55" s="10" cm="1" t="str">
        <f t="array" ref="H55">IF(G55="","",SUBSTITUTE(SUBSTITUTE(SUBSTITUTE(SUBSTITUTE(SUBSTITUTE(G55,"&lt;p&gt;",""),"&lt;/p&gt;",""),"&lt;ul&gt;",""),"&lt;/ul&gt;",""),"&lt;/strong&gt;",""))</f>
        <v/>
      </c>
      <c r="I55" s="11" cm="1" t="str">
        <f t="array" ref="I55">IF(C55="","",IF(OR(H55="",H55=0,H55=FALSE),"-",H55))</f>
        <v/>
      </c>
      <c r="J55" s="5">
</c>
      <c r="K55" s="6">
</c>
      <c r="L55" s="6" cm="1" t="str">
        <f t="array" ref="L55">IF(C55="","",IF(K55="Mort / Plus rien à faire","KO","OK"))</f>
        <v/>
      </c>
      <c r="M55" s="12">
</c>
      <c r="N55" s="12" cm="1" t="str">
        <f t="array" ref="N55">IF(OR(C55="",M55="",M55=0),"",M55)</f>
        <v/>
      </c>
      <c r="O55" s="12">
</c>
      <c r="P55" s="12" cm="1" t="str">
        <f t="array" ref="P55">IF(C55="","",IF(OR(O55="",O55=0),"-",O55))</f>
        <v/>
      </c>
      <c r="Q55" s="13">
</c>
      <c r="R55" s="9" cm="1" t="str">
        <f t="array" ref="R55">IF(C55="","",ROUND(Q55/1000000,3)&amp;" M€")</f>
        <v/>
      </c>
      <c r="S55" s="9">
</c>
      <c r="T55" s="9" cm="1" t="str">
        <f t="array" ref="T55">IF(C55="","",SUBSTITUTE(S55,"","")&amp;"%")</f>
        <v/>
      </c>
      <c r="U55" s="11" cm="1" t="str">
        <f t="array" ref="U55">IF(($N55="")*($P55=""),"",IF(($N55&lt;&gt;"")*($N55&gt;TODAY()-9)*($N55&lt;TODAY()+1)*($P55&lt;&gt;"")*($P55&gt;=TODAY())*($P55&lt;=TODAY()+13),"Semaine passée &amp; à venir",IF(($N55&lt;&gt;"")*($N55&gt;TODAY()-9)*($N55&lt;TODAY()+1),"Semaine passée",IF(($P55&lt;&gt;"")*($P55&gt;=TODAY())*($P55&lt;=TODAY()+13),"À venir","Autre"))))</f>
        <v/>
      </c>
      <c r="V55" s="5" cm="1" t="n">
        <f t="array" ref="V55">IF(C55&lt;&gt;"",1,0)</f>
        <v>0</v>
      </c>
      <c r="W55" s="5">
</c>
      <c r="X55" s="5">
</c>
      <c r="Y55" s="5">
</c>
      <c r="Z55" s="5">
</c>
      <c r="AA55" s="5">
</c>
      <c r="AB55" s="5">
</c>
      <c r="AC55" s="5">
</c>
      <c r="AD55" s="5">
</c>
      <c r="AE55" s="5">
</c>
      <c r="AF55" s="5">
</c>
      <c r="AG55" s="5">
</c>
      <c r="AH55" s="5">
</c>
      <c r="AI55" s="5">
</c>
      <c r="AJ55" s="5">
</c>
    </row>
    <row r="56" ht="81" customHeight="1">
      <c r="A56" s="6">
</c>
      <c r="B56" s="6">
</c>
      <c r="C56" s="9">
</c>
      <c r="D56" s="9">
</c>
      <c r="E56" s="6">
</c>
      <c r="F56" s="5">
</c>
      <c r="G56" s="10" cm="1" t="str">
        <f t="array" ref="G56">IF(F56="","",SUBSTITUTE(SUBSTITUTE(SUBSTITUTE(SUBSTITUTE(F56,"&lt;li&gt;",CHAR(10)),"&lt;/li&gt;",""),"&lt;br&gt;",CHAR(10)),"&lt;strong&gt;",""))</f>
        <v/>
      </c>
      <c r="H56" s="10" cm="1" t="str">
        <f t="array" ref="H56">IF(G56="","",SUBSTITUTE(SUBSTITUTE(SUBSTITUTE(SUBSTITUTE(SUBSTITUTE(G56,"&lt;p&gt;",""),"&lt;/p&gt;",""),"&lt;ul&gt;",""),"&lt;/ul&gt;",""),"&lt;/strong&gt;",""))</f>
        <v/>
      </c>
      <c r="I56" s="11" cm="1" t="str">
        <f t="array" ref="I56">IF(C56="","",IF(OR(H56="",H56=0,H56=FALSE),"-",H56))</f>
        <v/>
      </c>
      <c r="J56" s="5">
</c>
      <c r="K56" s="6">
</c>
      <c r="L56" s="6" cm="1" t="str">
        <f t="array" ref="L56">IF(C56="","",IF(K56="Mort / Plus rien à faire","KO","OK"))</f>
        <v/>
      </c>
      <c r="M56" s="12">
</c>
      <c r="N56" s="12" cm="1" t="str">
        <f t="array" ref="N56">IF(OR(C56="",M56="",M56=0),"",M56)</f>
        <v/>
      </c>
      <c r="O56" s="12">
</c>
      <c r="P56" s="12" cm="1" t="str">
        <f t="array" ref="P56">IF(C56="","",IF(OR(O56="",O56=0),"-",O56))</f>
        <v/>
      </c>
      <c r="Q56" s="13">
</c>
      <c r="R56" s="9" cm="1" t="str">
        <f t="array" ref="R56">IF(C56="","",ROUND(Q56/1000000,3)&amp;" M€")</f>
        <v/>
      </c>
      <c r="S56" s="9">
</c>
      <c r="T56" s="9" cm="1" t="str">
        <f t="array" ref="T56">IF(C56="","",SUBSTITUTE(S56,"","")&amp;"%")</f>
        <v/>
      </c>
      <c r="U56" s="11" cm="1" t="str">
        <f t="array" ref="U56">IF(($N56="")*($P56=""),"",IF(($N56&lt;&gt;"")*($N56&gt;TODAY()-9)*($N56&lt;TODAY()+1)*($P56&lt;&gt;"")*($P56&gt;=TODAY())*($P56&lt;=TODAY()+13),"Semaine passée &amp; à venir",IF(($N56&lt;&gt;"")*($N56&gt;TODAY()-9)*($N56&lt;TODAY()+1),"Semaine passée",IF(($P56&lt;&gt;"")*($P56&gt;=TODAY())*($P56&lt;=TODAY()+13),"À venir","Autre"))))</f>
        <v/>
      </c>
      <c r="V56" s="5" cm="1" t="n">
        <f t="array" ref="V56">IF(C56&lt;&gt;"",1,0)</f>
        <v>0</v>
      </c>
      <c r="W56" s="5">
</c>
      <c r="X56" s="5">
</c>
      <c r="Y56" s="5">
</c>
      <c r="Z56" s="5">
</c>
      <c r="AA56" s="5">
</c>
      <c r="AB56" s="5">
</c>
      <c r="AC56" s="5">
</c>
      <c r="AD56" s="5">
</c>
      <c r="AE56" s="5">
</c>
      <c r="AF56" s="5">
</c>
      <c r="AG56" s="5">
</c>
      <c r="AH56" s="5">
</c>
      <c r="AI56" s="5">
</c>
      <c r="AJ56" s="5">
</c>
    </row>
    <row r="57" ht="81" customHeight="1">
      <c r="A57" s="6">
</c>
      <c r="B57" s="6">
</c>
      <c r="C57" s="9">
</c>
      <c r="D57" s="9">
</c>
      <c r="E57" s="6">
</c>
      <c r="F57" s="5">
</c>
      <c r="G57" s="10" cm="1" t="str">
        <f t="array" ref="G57">IF(F57="","",SUBSTITUTE(SUBSTITUTE(SUBSTITUTE(SUBSTITUTE(F57,"&lt;li&gt;",CHAR(10)),"&lt;/li&gt;",""),"&lt;br&gt;",CHAR(10)),"&lt;strong&gt;",""))</f>
        <v/>
      </c>
      <c r="H57" s="10" cm="1" t="str">
        <f t="array" ref="H57">IF(G57="","",SUBSTITUTE(SUBSTITUTE(SUBSTITUTE(SUBSTITUTE(SUBSTITUTE(G57,"&lt;p&gt;",""),"&lt;/p&gt;",""),"&lt;ul&gt;",""),"&lt;/ul&gt;",""),"&lt;/strong&gt;",""))</f>
        <v/>
      </c>
      <c r="I57" s="11" cm="1" t="str">
        <f t="array" ref="I57">IF(C57="","",IF(OR(H57="",H57=0,H57=FALSE),"-",H57))</f>
        <v/>
      </c>
      <c r="J57" s="5">
</c>
      <c r="K57" s="6">
</c>
      <c r="L57" s="6" cm="1" t="str">
        <f t="array" ref="L57">IF(C57="","",IF(K57="Mort / Plus rien à faire","KO","OK"))</f>
        <v/>
      </c>
      <c r="M57" s="12">
</c>
      <c r="N57" s="12" cm="1" t="str">
        <f t="array" ref="N57">IF(OR(C57="",M57="",M57=0),"",M57)</f>
        <v/>
      </c>
      <c r="O57" s="12">
</c>
      <c r="P57" s="12" cm="1" t="str">
        <f t="array" ref="P57">IF(C57="","",IF(OR(O57="",O57=0),"-",O57))</f>
        <v/>
      </c>
      <c r="Q57" s="13">
</c>
      <c r="R57" s="9" cm="1" t="str">
        <f t="array" ref="R57">IF(C57="","",ROUND(Q57/1000000,3)&amp;" M€")</f>
        <v/>
      </c>
      <c r="S57" s="9">
</c>
      <c r="T57" s="9" cm="1" t="str">
        <f t="array" ref="T57">IF(C57="","",SUBSTITUTE(S57,"","")&amp;"%")</f>
        <v/>
      </c>
      <c r="U57" s="11" cm="1" t="str">
        <f t="array" ref="U57">IF(($N57="")*($P57=""),"",IF(($N57&lt;&gt;"")*($N57&gt;TODAY()-9)*($N57&lt;TODAY()+1)*($P57&lt;&gt;"")*($P57&gt;=TODAY())*($P57&lt;=TODAY()+13),"Semaine passée &amp; à venir",IF(($N57&lt;&gt;"")*($N57&gt;TODAY()-9)*($N57&lt;TODAY()+1),"Semaine passée",IF(($P57&lt;&gt;"")*($P57&gt;=TODAY())*($P57&lt;=TODAY()+13),"À venir","Autre"))))</f>
        <v/>
      </c>
      <c r="V57" s="5" cm="1" t="n">
        <f t="array" ref="V57">IF(C57&lt;&gt;"",1,0)</f>
        <v>0</v>
      </c>
      <c r="W57" s="5">
</c>
      <c r="X57" s="5">
</c>
      <c r="Y57" s="5">
</c>
      <c r="Z57" s="5">
</c>
      <c r="AA57" s="5">
</c>
      <c r="AB57" s="5">
</c>
      <c r="AC57" s="5">
</c>
      <c r="AD57" s="5">
</c>
      <c r="AE57" s="5">
</c>
      <c r="AF57" s="5">
</c>
      <c r="AG57" s="5">
</c>
      <c r="AH57" s="5">
</c>
      <c r="AI57" s="5">
</c>
      <c r="AJ57" s="5">
</c>
    </row>
    <row r="58" ht="81" customHeight="1">
      <c r="A58" s="6">
</c>
      <c r="B58" s="6">
</c>
      <c r="C58" s="9">
</c>
      <c r="D58" s="9">
</c>
      <c r="E58" s="6">
</c>
      <c r="F58" s="5">
</c>
      <c r="G58" s="10" cm="1" t="str">
        <f t="array" ref="G58">IF(F58="","",SUBSTITUTE(SUBSTITUTE(SUBSTITUTE(SUBSTITUTE(F58,"&lt;li&gt;",CHAR(10)),"&lt;/li&gt;",""),"&lt;br&gt;",CHAR(10)),"&lt;strong&gt;",""))</f>
        <v/>
      </c>
      <c r="H58" s="10" cm="1" t="str">
        <f t="array" ref="H58">IF(G58="","",SUBSTITUTE(SUBSTITUTE(SUBSTITUTE(SUBSTITUTE(SUBSTITUTE(G58,"&lt;p&gt;",""),"&lt;/p&gt;",""),"&lt;ul&gt;",""),"&lt;/ul&gt;",""),"&lt;/strong&gt;",""))</f>
        <v/>
      </c>
      <c r="I58" s="11" cm="1" t="str">
        <f t="array" ref="I58">IF(C58="","",IF(OR(H58="",H58=0,H58=FALSE),"-",H58))</f>
        <v/>
      </c>
      <c r="J58" s="5">
</c>
      <c r="K58" s="6">
</c>
      <c r="L58" s="6" cm="1" t="str">
        <f t="array" ref="L58">IF(C58="","",IF(K58="Mort / Plus rien à faire","KO","OK"))</f>
        <v/>
      </c>
      <c r="M58" s="12">
</c>
      <c r="N58" s="12" cm="1" t="str">
        <f t="array" ref="N58">IF(OR(C58="",M58="",M58=0),"",M58)</f>
        <v/>
      </c>
      <c r="O58" s="12">
</c>
      <c r="P58" s="12" cm="1" t="str">
        <f t="array" ref="P58">IF(C58="","",IF(OR(O58="",O58=0),"-",O58))</f>
        <v/>
      </c>
      <c r="Q58" s="13">
</c>
      <c r="R58" s="9" cm="1" t="str">
        <f t="array" ref="R58">IF(C58="","",ROUND(Q58/1000000,3)&amp;" M€")</f>
        <v/>
      </c>
      <c r="S58" s="9">
</c>
      <c r="T58" s="9" cm="1" t="str">
        <f t="array" ref="T58">IF(C58="","",SUBSTITUTE(S58,"","")&amp;"%")</f>
        <v/>
      </c>
      <c r="U58" s="11" cm="1" t="str">
        <f t="array" ref="U58">IF(($N58="")*($P58=""),"",IF(($N58&lt;&gt;"")*($N58&gt;TODAY()-9)*($N58&lt;TODAY()+1)*($P58&lt;&gt;"")*($P58&gt;=TODAY())*($P58&lt;=TODAY()+13),"Semaine passée &amp; à venir",IF(($N58&lt;&gt;"")*($N58&gt;TODAY()-9)*($N58&lt;TODAY()+1),"Semaine passée",IF(($P58&lt;&gt;"")*($P58&gt;=TODAY())*($P58&lt;=TODAY()+13),"À venir","Autre"))))</f>
        <v/>
      </c>
      <c r="V58" s="5" cm="1" t="n">
        <f t="array" ref="V58">IF(C58&lt;&gt;"",1,0)</f>
        <v>0</v>
      </c>
      <c r="W58" s="5">
</c>
      <c r="X58" s="5">
</c>
      <c r="Y58" s="5">
</c>
      <c r="Z58" s="5">
</c>
      <c r="AA58" s="5">
</c>
      <c r="AB58" s="5">
</c>
      <c r="AC58" s="5">
</c>
      <c r="AD58" s="5">
</c>
      <c r="AE58" s="5">
</c>
      <c r="AF58" s="5">
</c>
      <c r="AG58" s="5">
</c>
      <c r="AH58" s="5">
</c>
      <c r="AI58" s="5">
</c>
      <c r="AJ58" s="5">
</c>
    </row>
    <row r="59" ht="81" customHeight="1">
      <c r="A59" s="6">
</c>
      <c r="B59" s="6">
</c>
      <c r="C59" s="9">
</c>
      <c r="D59" s="9">
</c>
      <c r="E59" s="6">
</c>
      <c r="F59" s="5">
</c>
      <c r="G59" s="10" cm="1" t="str">
        <f t="array" ref="G59">IF(F59="","",SUBSTITUTE(SUBSTITUTE(SUBSTITUTE(SUBSTITUTE(F59,"&lt;li&gt;",CHAR(10)),"&lt;/li&gt;",""),"&lt;br&gt;",CHAR(10)),"&lt;strong&gt;",""))</f>
        <v/>
      </c>
      <c r="H59" s="10" cm="1" t="str">
        <f t="array" ref="H59">IF(G59="","",SUBSTITUTE(SUBSTITUTE(SUBSTITUTE(SUBSTITUTE(SUBSTITUTE(G59,"&lt;p&gt;",""),"&lt;/p&gt;",""),"&lt;ul&gt;",""),"&lt;/ul&gt;",""),"&lt;/strong&gt;",""))</f>
        <v/>
      </c>
      <c r="I59" s="11" cm="1" t="str">
        <f t="array" ref="I59">IF(C59="","",IF(OR(H59="",H59=0,H59=FALSE),"-",H59))</f>
        <v/>
      </c>
      <c r="J59" s="5">
</c>
      <c r="K59" s="6">
</c>
      <c r="L59" s="6" cm="1" t="str">
        <f t="array" ref="L59">IF(C59="","",IF(K59="Mort / Plus rien à faire","KO","OK"))</f>
        <v/>
      </c>
      <c r="M59" s="12">
</c>
      <c r="N59" s="12" cm="1" t="str">
        <f t="array" ref="N59">IF(OR(C59="",M59="",M59=0),"",M59)</f>
        <v/>
      </c>
      <c r="O59" s="12">
</c>
      <c r="P59" s="12" cm="1" t="str">
        <f t="array" ref="P59">IF(C59="","",IF(OR(O59="",O59=0),"-",O59))</f>
        <v/>
      </c>
      <c r="Q59" s="13">
</c>
      <c r="R59" s="9" cm="1" t="str">
        <f t="array" ref="R59">IF(C59="","",ROUND(Q59/1000000,3)&amp;" M€")</f>
        <v/>
      </c>
      <c r="S59" s="9">
</c>
      <c r="T59" s="9" cm="1" t="str">
        <f t="array" ref="T59">IF(C59="","",SUBSTITUTE(S59,"","")&amp;"%")</f>
        <v/>
      </c>
      <c r="U59" s="11" cm="1" t="str">
        <f t="array" ref="U59">IF(($N59="")*($P59=""),"",IF(($N59&lt;&gt;"")*($N59&gt;TODAY()-9)*($N59&lt;TODAY()+1)*($P59&lt;&gt;"")*($P59&gt;=TODAY())*($P59&lt;=TODAY()+13),"Semaine passée &amp; à venir",IF(($N59&lt;&gt;"")*($N59&gt;TODAY()-9)*($N59&lt;TODAY()+1),"Semaine passée",IF(($P59&lt;&gt;"")*($P59&gt;=TODAY())*($P59&lt;=TODAY()+13),"À venir","Autre"))))</f>
        <v/>
      </c>
      <c r="V59" s="5" cm="1" t="n">
        <f t="array" ref="V59">IF(C59&lt;&gt;"",1,0)</f>
        <v>0</v>
      </c>
      <c r="W59" s="5">
</c>
      <c r="X59" s="5">
</c>
      <c r="Y59" s="5">
</c>
      <c r="Z59" s="5">
</c>
      <c r="AA59" s="5">
</c>
      <c r="AB59" s="5">
</c>
      <c r="AC59" s="5">
</c>
      <c r="AD59" s="5">
</c>
      <c r="AE59" s="5">
</c>
      <c r="AF59" s="5">
</c>
      <c r="AG59" s="5">
</c>
      <c r="AH59" s="5">
</c>
      <c r="AI59" s="5">
</c>
      <c r="AJ59" s="5">
</c>
    </row>
    <row r="60" ht="81" customHeight="1">
      <c r="A60" s="6">
</c>
      <c r="B60" s="6">
</c>
      <c r="C60" s="9">
</c>
      <c r="D60" s="9">
</c>
      <c r="E60" s="6">
</c>
      <c r="F60" s="5">
</c>
      <c r="G60" s="10" cm="1" t="str">
        <f t="array" ref="G60">IF(F60="","",SUBSTITUTE(SUBSTITUTE(SUBSTITUTE(SUBSTITUTE(F60,"&lt;li&gt;",CHAR(10)),"&lt;/li&gt;",""),"&lt;br&gt;",CHAR(10)),"&lt;strong&gt;",""))</f>
        <v/>
      </c>
      <c r="H60" s="10" cm="1" t="str">
        <f t="array" ref="H60">IF(G60="","",SUBSTITUTE(SUBSTITUTE(SUBSTITUTE(SUBSTITUTE(SUBSTITUTE(G60,"&lt;p&gt;",""),"&lt;/p&gt;",""),"&lt;ul&gt;",""),"&lt;/ul&gt;",""),"&lt;/strong&gt;",""))</f>
        <v/>
      </c>
      <c r="I60" s="11" cm="1" t="str">
        <f t="array" ref="I60">IF(C60="","",IF(OR(H60="",H60=0,H60=FALSE),"-",H60))</f>
        <v/>
      </c>
      <c r="J60" s="5">
</c>
      <c r="K60" s="6">
</c>
      <c r="L60" s="6" cm="1" t="str">
        <f t="array" ref="L60">IF(C60="","",IF(K60="Mort / Plus rien à faire","KO","OK"))</f>
        <v/>
      </c>
      <c r="M60" s="12">
</c>
      <c r="N60" s="12" cm="1" t="str">
        <f t="array" ref="N60">IF(OR(C60="",M60="",M60=0),"",M60)</f>
        <v/>
      </c>
      <c r="O60" s="12">
</c>
      <c r="P60" s="12" cm="1" t="str">
        <f t="array" ref="P60">IF(C60="","",IF(OR(O60="",O60=0),"-",O60))</f>
        <v/>
      </c>
      <c r="Q60" s="13">
</c>
      <c r="R60" s="9" cm="1" t="str">
        <f t="array" ref="R60">IF(C60="","",ROUND(Q60/1000000,3)&amp;" M€")</f>
        <v/>
      </c>
      <c r="S60" s="9">
</c>
      <c r="T60" s="9" cm="1" t="str">
        <f t="array" ref="T60">IF(C60="","",SUBSTITUTE(S60,"","")&amp;"%")</f>
        <v/>
      </c>
      <c r="U60" s="11" cm="1" t="str">
        <f t="array" ref="U60">IF(($N60="")*($P60=""),"",IF(($N60&lt;&gt;"")*($N60&gt;TODAY()-9)*($N60&lt;TODAY()+1)*($P60&lt;&gt;"")*($P60&gt;=TODAY())*($P60&lt;=TODAY()+13),"Semaine passée &amp; à venir",IF(($N60&lt;&gt;"")*($N60&gt;TODAY()-9)*($N60&lt;TODAY()+1),"Semaine passée",IF(($P60&lt;&gt;"")*($P60&gt;=TODAY())*($P60&lt;=TODAY()+13),"À venir","Autre"))))</f>
        <v/>
      </c>
      <c r="V60" s="5" cm="1" t="n">
        <f t="array" ref="V60">IF(C60&lt;&gt;"",1,0)</f>
        <v>0</v>
      </c>
      <c r="W60" s="5">
</c>
      <c r="X60" s="5">
</c>
      <c r="Y60" s="5">
</c>
      <c r="Z60" s="5">
</c>
      <c r="AA60" s="5">
</c>
      <c r="AB60" s="5">
</c>
      <c r="AC60" s="5">
</c>
      <c r="AD60" s="5">
</c>
      <c r="AE60" s="5">
</c>
      <c r="AF60" s="5">
</c>
      <c r="AG60" s="5">
</c>
      <c r="AH60" s="5">
</c>
      <c r="AI60" s="5">
</c>
      <c r="AJ60" s="5">
</c>
    </row>
    <row r="61" ht="81" customHeight="1">
      <c r="A61" s="6">
</c>
      <c r="B61" s="6">
</c>
      <c r="C61" s="9">
</c>
      <c r="D61" s="9">
</c>
      <c r="E61" s="6">
</c>
      <c r="F61" s="5">
</c>
      <c r="G61" s="10" cm="1" t="str">
        <f t="array" ref="G61">IF(F61="","",SUBSTITUTE(SUBSTITUTE(SUBSTITUTE(SUBSTITUTE(F61,"&lt;li&gt;",CHAR(10)),"&lt;/li&gt;",""),"&lt;br&gt;",CHAR(10)),"&lt;strong&gt;",""))</f>
        <v/>
      </c>
      <c r="H61" s="10" cm="1" t="str">
        <f t="array" ref="H61">IF(G61="","",SUBSTITUTE(SUBSTITUTE(SUBSTITUTE(SUBSTITUTE(SUBSTITUTE(G61,"&lt;p&gt;",""),"&lt;/p&gt;",""),"&lt;ul&gt;",""),"&lt;/ul&gt;",""),"&lt;/strong&gt;",""))</f>
        <v/>
      </c>
      <c r="I61" s="11" cm="1" t="str">
        <f t="array" ref="I61">IF(C61="","",IF(OR(H61="",H61=0,H61=FALSE),"-",H61))</f>
        <v/>
      </c>
      <c r="J61" s="5">
</c>
      <c r="K61" s="6">
</c>
      <c r="L61" s="6" cm="1" t="str">
        <f t="array" ref="L61">IF(C61="","",IF(K61="Mort / Plus rien à faire","KO","OK"))</f>
        <v/>
      </c>
      <c r="M61" s="12">
</c>
      <c r="N61" s="12" cm="1" t="str">
        <f t="array" ref="N61">IF(OR(C61="",M61="",M61=0),"",M61)</f>
        <v/>
      </c>
      <c r="O61" s="12">
</c>
      <c r="P61" s="12" cm="1" t="str">
        <f t="array" ref="P61">IF(C61="","",IF(OR(O61="",O61=0),"-",O61))</f>
        <v/>
      </c>
      <c r="Q61" s="13">
</c>
      <c r="R61" s="9" cm="1" t="str">
        <f t="array" ref="R61">IF(C61="","",ROUND(Q61/1000000,3)&amp;" M€")</f>
        <v/>
      </c>
      <c r="S61" s="9">
</c>
      <c r="T61" s="9" cm="1" t="str">
        <f t="array" ref="T61">IF(C61="","",SUBSTITUTE(S61,"","")&amp;"%")</f>
        <v/>
      </c>
      <c r="U61" s="11" cm="1" t="str">
        <f t="array" ref="U61">IF(($N61="")*($P61=""),"",IF(($N61&lt;&gt;"")*($N61&gt;TODAY()-9)*($N61&lt;TODAY()+1)*($P61&lt;&gt;"")*($P61&gt;=TODAY())*($P61&lt;=TODAY()+13),"Semaine passée &amp; à venir",IF(($N61&lt;&gt;"")*($N61&gt;TODAY()-9)*($N61&lt;TODAY()+1),"Semaine passée",IF(($P61&lt;&gt;"")*($P61&gt;=TODAY())*($P61&lt;=TODAY()+13),"À venir","Autre"))))</f>
        <v/>
      </c>
      <c r="V61" s="5" cm="1" t="n">
        <f t="array" ref="V61">IF(C61&lt;&gt;"",1,0)</f>
        <v>0</v>
      </c>
      <c r="W61" s="5">
</c>
      <c r="X61" s="5">
</c>
      <c r="Y61" s="5">
</c>
      <c r="Z61" s="5">
</c>
      <c r="AA61" s="5">
</c>
      <c r="AB61" s="5">
</c>
      <c r="AC61" s="5">
</c>
      <c r="AD61" s="5">
</c>
      <c r="AE61" s="5">
</c>
      <c r="AF61" s="5">
</c>
      <c r="AG61" s="5">
</c>
      <c r="AH61" s="5">
</c>
      <c r="AI61" s="5">
</c>
      <c r="AJ61" s="5">
</c>
    </row>
    <row r="62" ht="81" customHeight="1">
      <c r="A62" s="6">
</c>
      <c r="B62" s="6">
</c>
      <c r="C62" s="9">
</c>
      <c r="D62" s="9">
</c>
      <c r="E62" s="6">
</c>
      <c r="F62" s="5">
</c>
      <c r="G62" s="10" cm="1" t="str">
        <f t="array" ref="G62">IF(F62="","",SUBSTITUTE(SUBSTITUTE(SUBSTITUTE(SUBSTITUTE(F62,"&lt;li&gt;",CHAR(10)),"&lt;/li&gt;",""),"&lt;br&gt;",CHAR(10)),"&lt;strong&gt;",""))</f>
        <v/>
      </c>
      <c r="H62" s="10" cm="1" t="str">
        <f t="array" ref="H62">IF(G62="","",SUBSTITUTE(SUBSTITUTE(SUBSTITUTE(SUBSTITUTE(SUBSTITUTE(G62,"&lt;p&gt;",""),"&lt;/p&gt;",""),"&lt;ul&gt;",""),"&lt;/ul&gt;",""),"&lt;/strong&gt;",""))</f>
        <v/>
      </c>
      <c r="I62" s="11" cm="1" t="str">
        <f t="array" ref="I62">IF(C62="","",IF(OR(H62="",H62=0,H62=FALSE),"-",H62))</f>
        <v/>
      </c>
      <c r="J62" s="5">
</c>
      <c r="K62" s="6">
</c>
      <c r="L62" s="6" cm="1" t="str">
        <f t="array" ref="L62">IF(C62="","",IF(K62="Mort / Plus rien à faire","KO","OK"))</f>
        <v/>
      </c>
      <c r="M62" s="12">
</c>
      <c r="N62" s="12" cm="1" t="str">
        <f t="array" ref="N62">IF(OR(C62="",M62="",M62=0),"",M62)</f>
        <v/>
      </c>
      <c r="O62" s="12">
</c>
      <c r="P62" s="12" cm="1" t="str">
        <f t="array" ref="P62">IF(C62="","",IF(OR(O62="",O62=0),"-",O62))</f>
        <v/>
      </c>
      <c r="Q62" s="13">
</c>
      <c r="R62" s="9" cm="1" t="str">
        <f t="array" ref="R62">IF(C62="","",ROUND(Q62/1000000,3)&amp;" M€")</f>
        <v/>
      </c>
      <c r="S62" s="9">
</c>
      <c r="T62" s="9" cm="1" t="str">
        <f t="array" ref="T62">IF(C62="","",SUBSTITUTE(S62,"","")&amp;"%")</f>
        <v/>
      </c>
      <c r="U62" s="11" cm="1" t="str">
        <f t="array" ref="U62">IF(($N62="")*($P62=""),"",IF(($N62&lt;&gt;"")*($N62&gt;TODAY()-9)*($N62&lt;TODAY()+1)*($P62&lt;&gt;"")*($P62&gt;=TODAY())*($P62&lt;=TODAY()+13),"Semaine passée &amp; à venir",IF(($N62&lt;&gt;"")*($N62&gt;TODAY()-9)*($N62&lt;TODAY()+1),"Semaine passée",IF(($P62&lt;&gt;"")*($P62&gt;=TODAY())*($P62&lt;=TODAY()+13),"À venir","Autre"))))</f>
        <v/>
      </c>
      <c r="V62" s="5" cm="1" t="n">
        <f t="array" ref="V62">IF(C62&lt;&gt;"",1,0)</f>
        <v>0</v>
      </c>
      <c r="W62" s="5">
</c>
      <c r="X62" s="5">
</c>
      <c r="Y62" s="5">
</c>
      <c r="Z62" s="5">
</c>
      <c r="AA62" s="5">
</c>
      <c r="AB62" s="5">
</c>
      <c r="AC62" s="5">
</c>
      <c r="AD62" s="5">
</c>
      <c r="AE62" s="5">
</c>
      <c r="AF62" s="5">
</c>
      <c r="AG62" s="5">
</c>
      <c r="AH62" s="5">
</c>
      <c r="AI62" s="5">
</c>
      <c r="AJ62" s="5">
</c>
    </row>
    <row r="63" ht="81" customHeight="1">
      <c r="A63" s="6">
</c>
      <c r="B63" s="6">
</c>
      <c r="C63" s="9">
</c>
      <c r="D63" s="9">
</c>
      <c r="E63" s="6">
</c>
      <c r="F63" s="5">
</c>
      <c r="G63" s="10" cm="1" t="str">
        <f t="array" ref="G63">IF(F63="","",SUBSTITUTE(SUBSTITUTE(SUBSTITUTE(SUBSTITUTE(F63,"&lt;li&gt;",CHAR(10)),"&lt;/li&gt;",""),"&lt;br&gt;",CHAR(10)),"&lt;strong&gt;",""))</f>
        <v/>
      </c>
      <c r="H63" s="10" cm="1" t="str">
        <f t="array" ref="H63">IF(G63="","",SUBSTITUTE(SUBSTITUTE(SUBSTITUTE(SUBSTITUTE(SUBSTITUTE(G63,"&lt;p&gt;",""),"&lt;/p&gt;",""),"&lt;ul&gt;",""),"&lt;/ul&gt;",""),"&lt;/strong&gt;",""))</f>
        <v/>
      </c>
      <c r="I63" s="11" cm="1" t="str">
        <f t="array" ref="I63">IF(C63="","",IF(OR(H63="",H63=0,H63=FALSE),"-",H63))</f>
        <v/>
      </c>
      <c r="J63" s="5">
</c>
      <c r="K63" s="6">
</c>
      <c r="L63" s="6" cm="1" t="str">
        <f t="array" ref="L63">IF(C63="","",IF(K63="Mort / Plus rien à faire","KO","OK"))</f>
        <v/>
      </c>
      <c r="M63" s="12">
</c>
      <c r="N63" s="12" cm="1" t="str">
        <f t="array" ref="N63">IF(OR(C63="",M63="",M63=0),"",M63)</f>
        <v/>
      </c>
      <c r="O63" s="12">
</c>
      <c r="P63" s="12" cm="1" t="str">
        <f t="array" ref="P63">IF(C63="","",IF(OR(O63="",O63=0),"-",O63))</f>
        <v/>
      </c>
      <c r="Q63" s="13">
</c>
      <c r="R63" s="9" cm="1" t="str">
        <f t="array" ref="R63">IF(C63="","",ROUND(Q63/1000000,3)&amp;" M€")</f>
        <v/>
      </c>
      <c r="S63" s="9">
</c>
      <c r="T63" s="9" cm="1" t="str">
        <f t="array" ref="T63">IF(C63="","",SUBSTITUTE(S63,"","")&amp;"%")</f>
        <v/>
      </c>
      <c r="U63" s="11" cm="1" t="str">
        <f t="array" ref="U63">IF(($N63="")*($P63=""),"",IF(($N63&lt;&gt;"")*($N63&gt;TODAY()-9)*($N63&lt;TODAY()+1)*($P63&lt;&gt;"")*($P63&gt;=TODAY())*($P63&lt;=TODAY()+13),"Semaine passée &amp; à venir",IF(($N63&lt;&gt;"")*($N63&gt;TODAY()-9)*($N63&lt;TODAY()+1),"Semaine passée",IF(($P63&lt;&gt;"")*($P63&gt;=TODAY())*($P63&lt;=TODAY()+13),"À venir","Autre"))))</f>
        <v/>
      </c>
      <c r="V63" s="5" cm="1" t="n">
        <f t="array" ref="V63">IF(C63&lt;&gt;"",1,0)</f>
        <v>0</v>
      </c>
      <c r="W63" s="5">
</c>
      <c r="X63" s="5">
</c>
      <c r="Y63" s="5">
</c>
      <c r="Z63" s="5">
</c>
      <c r="AA63" s="5">
</c>
      <c r="AB63" s="5">
</c>
      <c r="AC63" s="5">
</c>
      <c r="AD63" s="5">
</c>
      <c r="AE63" s="5">
</c>
      <c r="AF63" s="5">
</c>
      <c r="AG63" s="5">
</c>
      <c r="AH63" s="5">
</c>
      <c r="AI63" s="5">
</c>
      <c r="AJ63" s="5">
</c>
    </row>
    <row r="64" ht="81" customHeight="1">
      <c r="A64" s="6">
</c>
      <c r="B64" s="6">
</c>
      <c r="C64" s="9">
</c>
      <c r="D64" s="9">
</c>
      <c r="E64" s="6">
</c>
      <c r="F64" s="5">
</c>
      <c r="G64" s="10" cm="1" t="str">
        <f t="array" ref="G64">IF(F64="","",SUBSTITUTE(SUBSTITUTE(SUBSTITUTE(SUBSTITUTE(F64,"&lt;li&gt;",CHAR(10)),"&lt;/li&gt;",""),"&lt;br&gt;",CHAR(10)),"&lt;strong&gt;",""))</f>
        <v/>
      </c>
      <c r="H64" s="10" cm="1" t="str">
        <f t="array" ref="H64">IF(G64="","",SUBSTITUTE(SUBSTITUTE(SUBSTITUTE(SUBSTITUTE(SUBSTITUTE(G64,"&lt;p&gt;",""),"&lt;/p&gt;",""),"&lt;ul&gt;",""),"&lt;/ul&gt;",""),"&lt;/strong&gt;",""))</f>
        <v/>
      </c>
      <c r="I64" s="11" cm="1" t="str">
        <f t="array" ref="I64">IF(C64="","",IF(OR(H64="",H64=0,H64=FALSE),"-",H64))</f>
        <v/>
      </c>
      <c r="J64" s="5">
</c>
      <c r="K64" s="6">
</c>
      <c r="L64" s="6" cm="1" t="str">
        <f t="array" ref="L64">IF(C64="","",IF(K64="Mort / Plus rien à faire","KO","OK"))</f>
        <v/>
      </c>
      <c r="M64" s="12">
</c>
      <c r="N64" s="12" cm="1" t="str">
        <f t="array" ref="N64">IF(OR(C64="",M64="",M64=0),"",M64)</f>
        <v/>
      </c>
      <c r="O64" s="12">
</c>
      <c r="P64" s="12" cm="1" t="str">
        <f t="array" ref="P64">IF(C64="","",IF(OR(O64="",O64=0),"-",O64))</f>
        <v/>
      </c>
      <c r="Q64" s="13">
</c>
      <c r="R64" s="9" cm="1" t="str">
        <f t="array" ref="R64">IF(C64="","",ROUND(Q64/1000000,3)&amp;" M€")</f>
        <v/>
      </c>
      <c r="S64" s="9">
</c>
      <c r="T64" s="9" cm="1" t="str">
        <f t="array" ref="T64">IF(C64="","",SUBSTITUTE(S64,"","")&amp;"%")</f>
        <v/>
      </c>
      <c r="U64" s="11" cm="1" t="str">
        <f t="array" ref="U64">IF(($N64="")*($P64=""),"",IF(($N64&lt;&gt;"")*($N64&gt;TODAY()-9)*($N64&lt;TODAY()+1)*($P64&lt;&gt;"")*($P64&gt;=TODAY())*($P64&lt;=TODAY()+13),"Semaine passée &amp; à venir",IF(($N64&lt;&gt;"")*($N64&gt;TODAY()-9)*($N64&lt;TODAY()+1),"Semaine passée",IF(($P64&lt;&gt;"")*($P64&gt;=TODAY())*($P64&lt;=TODAY()+13),"À venir","Autre"))))</f>
        <v/>
      </c>
      <c r="V64" s="5" cm="1" t="n">
        <f t="array" ref="V64">IF(C64&lt;&gt;"",1,0)</f>
        <v>0</v>
      </c>
      <c r="W64" s="5">
</c>
      <c r="X64" s="5">
</c>
      <c r="Y64" s="5">
</c>
      <c r="Z64" s="5">
</c>
      <c r="AA64" s="5">
</c>
      <c r="AB64" s="5">
</c>
      <c r="AC64" s="5">
</c>
      <c r="AD64" s="5">
</c>
      <c r="AE64" s="5">
</c>
      <c r="AF64" s="5">
</c>
      <c r="AG64" s="5">
</c>
      <c r="AH64" s="5">
</c>
      <c r="AI64" s="5">
</c>
      <c r="AJ64" s="5">
</c>
    </row>
    <row r="65" ht="81" customHeight="1">
      <c r="A65" s="6">
</c>
      <c r="B65" s="6">
</c>
      <c r="C65" s="9">
</c>
      <c r="D65" s="9">
</c>
      <c r="E65" s="6">
</c>
      <c r="F65" s="5">
</c>
      <c r="G65" s="10" cm="1" t="str">
        <f t="array" ref="G65">IF(F65="","",SUBSTITUTE(SUBSTITUTE(SUBSTITUTE(SUBSTITUTE(F65,"&lt;li&gt;",CHAR(10)),"&lt;/li&gt;",""),"&lt;br&gt;",CHAR(10)),"&lt;strong&gt;",""))</f>
        <v/>
      </c>
      <c r="H65" s="10" cm="1" t="str">
        <f t="array" ref="H65">IF(G65="","",SUBSTITUTE(SUBSTITUTE(SUBSTITUTE(SUBSTITUTE(SUBSTITUTE(G65,"&lt;p&gt;",""),"&lt;/p&gt;",""),"&lt;ul&gt;",""),"&lt;/ul&gt;",""),"&lt;/strong&gt;",""))</f>
        <v/>
      </c>
      <c r="I65" s="11" cm="1" t="str">
        <f t="array" ref="I65">IF(C65="","",IF(OR(H65="",H65=0,H65=FALSE),"-",H65))</f>
        <v/>
      </c>
      <c r="J65" s="5">
</c>
      <c r="K65" s="6">
</c>
      <c r="L65" s="6" cm="1" t="str">
        <f t="array" ref="L65">IF(C65="","",IF(K65="Mort / Plus rien à faire","KO","OK"))</f>
        <v/>
      </c>
      <c r="M65" s="12">
</c>
      <c r="N65" s="12" cm="1" t="str">
        <f t="array" ref="N65">IF(OR(C65="",M65="",M65=0),"",M65)</f>
        <v/>
      </c>
      <c r="O65" s="12">
</c>
      <c r="P65" s="12" cm="1" t="str">
        <f t="array" ref="P65">IF(C65="","",IF(OR(O65="",O65=0),"-",O65))</f>
        <v/>
      </c>
      <c r="Q65" s="13">
</c>
      <c r="R65" s="9" cm="1" t="str">
        <f t="array" ref="R65">IF(C65="","",ROUND(Q65/1000000,3)&amp;" M€")</f>
        <v/>
      </c>
      <c r="S65" s="9">
</c>
      <c r="T65" s="9" cm="1" t="str">
        <f t="array" ref="T65">IF(C65="","",SUBSTITUTE(S65,"","")&amp;"%")</f>
        <v/>
      </c>
      <c r="U65" s="11" cm="1" t="str">
        <f t="array" ref="U65">IF(($N65="")*($P65=""),"",IF(($N65&lt;&gt;"")*($N65&gt;TODAY()-9)*($N65&lt;TODAY()+1)*($P65&lt;&gt;"")*($P65&gt;=TODAY())*($P65&lt;=TODAY()+13),"Semaine passée &amp; à venir",IF(($N65&lt;&gt;"")*($N65&gt;TODAY()-9)*($N65&lt;TODAY()+1),"Semaine passée",IF(($P65&lt;&gt;"")*($P65&gt;=TODAY())*($P65&lt;=TODAY()+13),"À venir","Autre"))))</f>
        <v/>
      </c>
      <c r="V65" s="5" cm="1" t="n">
        <f t="array" ref="V65">IF(C65&lt;&gt;"",1,0)</f>
        <v>0</v>
      </c>
      <c r="W65" s="5">
</c>
      <c r="X65" s="5">
</c>
      <c r="Y65" s="5">
</c>
      <c r="Z65" s="5">
</c>
      <c r="AA65" s="5">
</c>
      <c r="AB65" s="5">
</c>
      <c r="AC65" s="5">
</c>
      <c r="AD65" s="5">
</c>
      <c r="AE65" s="5">
</c>
      <c r="AF65" s="5">
</c>
      <c r="AG65" s="5">
</c>
      <c r="AH65" s="5">
</c>
      <c r="AI65" s="5">
</c>
      <c r="AJ65" s="5">
</c>
    </row>
    <row r="66" ht="81" customHeight="1">
      <c r="A66" s="6">
</c>
      <c r="B66" s="6">
</c>
      <c r="C66" s="9">
</c>
      <c r="D66" s="9">
</c>
      <c r="E66" s="6">
</c>
      <c r="F66" s="5">
</c>
      <c r="G66" s="10" cm="1" t="str">
        <f t="array" ref="G66">IF(F66="","",SUBSTITUTE(SUBSTITUTE(SUBSTITUTE(SUBSTITUTE(F66,"&lt;li&gt;",CHAR(10)),"&lt;/li&gt;",""),"&lt;br&gt;",CHAR(10)),"&lt;strong&gt;",""))</f>
        <v/>
      </c>
      <c r="H66" s="10" cm="1" t="str">
        <f t="array" ref="H66">IF(G66="","",SUBSTITUTE(SUBSTITUTE(SUBSTITUTE(SUBSTITUTE(SUBSTITUTE(G66,"&lt;p&gt;",""),"&lt;/p&gt;",""),"&lt;ul&gt;",""),"&lt;/ul&gt;",""),"&lt;/strong&gt;",""))</f>
        <v/>
      </c>
      <c r="I66" s="11" cm="1" t="str">
        <f t="array" ref="I66">IF(C66="","",IF(OR(H66="",H66=0,H66=FALSE),"-",H66))</f>
        <v/>
      </c>
      <c r="J66" s="5">
</c>
      <c r="K66" s="6">
</c>
      <c r="L66" s="6" cm="1" t="str">
        <f t="array" ref="L66">IF(C66="","",IF(K66="Mort / Plus rien à faire","KO","OK"))</f>
        <v/>
      </c>
      <c r="M66" s="12">
</c>
      <c r="N66" s="12" cm="1" t="str">
        <f t="array" ref="N66">IF(OR(C66="",M66="",M66=0),"",M66)</f>
        <v/>
      </c>
      <c r="O66" s="12">
</c>
      <c r="P66" s="12" cm="1" t="str">
        <f t="array" ref="P66">IF(C66="","",IF(OR(O66="",O66=0),"-",O66))</f>
        <v/>
      </c>
      <c r="Q66" s="13">
</c>
      <c r="R66" s="9" cm="1" t="str">
        <f t="array" ref="R66">IF(C66="","",ROUND(Q66/1000000,3)&amp;" M€")</f>
        <v/>
      </c>
      <c r="S66" s="9">
</c>
      <c r="T66" s="9" cm="1" t="str">
        <f t="array" ref="T66">IF(C66="","",SUBSTITUTE(S66,"","")&amp;"%")</f>
        <v/>
      </c>
      <c r="U66" s="11" cm="1" t="str">
        <f t="array" ref="U66">IF(($N66="")*($P66=""),"",IF(($N66&lt;&gt;"")*($N66&gt;TODAY()-9)*($N66&lt;TODAY()+1)*($P66&lt;&gt;"")*($P66&gt;=TODAY())*($P66&lt;=TODAY()+13),"Semaine passée &amp; à venir",IF(($N66&lt;&gt;"")*($N66&gt;TODAY()-9)*($N66&lt;TODAY()+1),"Semaine passée",IF(($P66&lt;&gt;"")*($P66&gt;=TODAY())*($P66&lt;=TODAY()+13),"À venir","Autre"))))</f>
        <v/>
      </c>
      <c r="V66" s="5" cm="1" t="n">
        <f t="array" ref="V66">IF(C66&lt;&gt;"",1,0)</f>
        <v>0</v>
      </c>
      <c r="W66" s="5">
</c>
      <c r="X66" s="5">
</c>
      <c r="Y66" s="5">
</c>
      <c r="Z66" s="5">
</c>
      <c r="AA66" s="5">
</c>
      <c r="AB66" s="5">
</c>
      <c r="AC66" s="5">
</c>
      <c r="AD66" s="5">
</c>
      <c r="AE66" s="5">
</c>
      <c r="AF66" s="5">
</c>
      <c r="AG66" s="5">
</c>
      <c r="AH66" s="5">
</c>
      <c r="AI66" s="5">
</c>
      <c r="AJ66" s="5">
</c>
    </row>
    <row r="67" ht="81" customHeight="1">
      <c r="A67" s="6">
</c>
      <c r="B67" s="6">
</c>
      <c r="C67" s="9">
</c>
      <c r="D67" s="9">
</c>
      <c r="E67" s="6">
</c>
      <c r="F67" s="5">
</c>
      <c r="G67" s="10" cm="1" t="str">
        <f t="array" ref="G67">IF(F67="","",SUBSTITUTE(SUBSTITUTE(SUBSTITUTE(SUBSTITUTE(F67,"&lt;li&gt;",CHAR(10)),"&lt;/li&gt;",""),"&lt;br&gt;",CHAR(10)),"&lt;strong&gt;",""))</f>
        <v/>
      </c>
      <c r="H67" s="10" cm="1" t="str">
        <f t="array" ref="H67">IF(G67="","",SUBSTITUTE(SUBSTITUTE(SUBSTITUTE(SUBSTITUTE(SUBSTITUTE(G67,"&lt;p&gt;",""),"&lt;/p&gt;",""),"&lt;ul&gt;",""),"&lt;/ul&gt;",""),"&lt;/strong&gt;",""))</f>
        <v/>
      </c>
      <c r="I67" s="11" cm="1" t="str">
        <f t="array" ref="I67">IF(C67="","",IF(OR(H67="",H67=0,H67=FALSE),"-",H67))</f>
        <v/>
      </c>
      <c r="J67" s="5">
</c>
      <c r="K67" s="6">
</c>
      <c r="L67" s="6" cm="1" t="str">
        <f t="array" ref="L67">IF(C67="","",IF(K67="Mort / Plus rien à faire","KO","OK"))</f>
        <v/>
      </c>
      <c r="M67" s="12">
</c>
      <c r="N67" s="12" cm="1" t="str">
        <f t="array" ref="N67">IF(OR(C67="",M67="",M67=0),"",M67)</f>
        <v/>
      </c>
      <c r="O67" s="12">
</c>
      <c r="P67" s="12" cm="1" t="str">
        <f t="array" ref="P67">IF(C67="","",IF(OR(O67="",O67=0),"-",O67))</f>
        <v/>
      </c>
      <c r="Q67" s="13">
</c>
      <c r="R67" s="9" cm="1" t="str">
        <f t="array" ref="R67">IF(C67="","",ROUND(Q67/1000000,3)&amp;" M€")</f>
        <v/>
      </c>
      <c r="S67" s="9">
</c>
      <c r="T67" s="9" cm="1" t="str">
        <f t="array" ref="T67">IF(C67="","",SUBSTITUTE(S67,"","")&amp;"%")</f>
        <v/>
      </c>
      <c r="U67" s="11" cm="1" t="str">
        <f t="array" ref="U67">IF(($N67="")*($P67=""),"",IF(($N67&lt;&gt;"")*($N67&gt;TODAY()-9)*($N67&lt;TODAY()+1)*($P67&lt;&gt;"")*($P67&gt;=TODAY())*($P67&lt;=TODAY()+13),"Semaine passée &amp; à venir",IF(($N67&lt;&gt;"")*($N67&gt;TODAY()-9)*($N67&lt;TODAY()+1),"Semaine passée",IF(($P67&lt;&gt;"")*($P67&gt;=TODAY())*($P67&lt;=TODAY()+13),"À venir","Autre"))))</f>
        <v/>
      </c>
      <c r="V67" s="5" cm="1" t="n">
        <f t="array" ref="V67">IF(C67&lt;&gt;"",1,0)</f>
        <v>0</v>
      </c>
      <c r="W67" s="5">
</c>
      <c r="X67" s="5">
</c>
      <c r="Y67" s="5">
</c>
      <c r="Z67" s="5">
</c>
      <c r="AA67" s="5">
</c>
      <c r="AB67" s="5">
</c>
      <c r="AC67" s="5">
</c>
      <c r="AD67" s="5">
</c>
      <c r="AE67" s="5">
</c>
      <c r="AF67" s="5">
</c>
      <c r="AG67" s="5">
</c>
      <c r="AH67" s="5">
</c>
      <c r="AI67" s="5">
</c>
      <c r="AJ67" s="5">
</c>
    </row>
    <row r="68" ht="81" customHeight="1">
      <c r="A68" s="6">
</c>
      <c r="B68" s="6">
</c>
      <c r="C68" s="9">
</c>
      <c r="D68" s="9">
</c>
      <c r="E68" s="6">
</c>
      <c r="F68" s="5">
</c>
      <c r="G68" s="10" cm="1" t="str">
        <f t="array" ref="G68">IF(F68="","",SUBSTITUTE(SUBSTITUTE(SUBSTITUTE(SUBSTITUTE(F68,"&lt;li&gt;",CHAR(10)),"&lt;/li&gt;",""),"&lt;br&gt;",CHAR(10)),"&lt;strong&gt;",""))</f>
        <v/>
      </c>
      <c r="H68" s="10" cm="1" t="str">
        <f t="array" ref="H68">IF(G68="","",SUBSTITUTE(SUBSTITUTE(SUBSTITUTE(SUBSTITUTE(SUBSTITUTE(G68,"&lt;p&gt;",""),"&lt;/p&gt;",""),"&lt;ul&gt;",""),"&lt;/ul&gt;",""),"&lt;/strong&gt;",""))</f>
        <v/>
      </c>
      <c r="I68" s="11" cm="1" t="str">
        <f t="array" ref="I68">IF(C68="","",IF(OR(H68="",H68=0,H68=FALSE),"-",H68))</f>
        <v/>
      </c>
      <c r="J68" s="5">
</c>
      <c r="K68" s="6">
</c>
      <c r="L68" s="6" cm="1" t="str">
        <f t="array" ref="L68">IF(C68="","",IF(K68="Mort / Plus rien à faire","KO","OK"))</f>
        <v/>
      </c>
      <c r="M68" s="12">
</c>
      <c r="N68" s="12" cm="1" t="str">
        <f t="array" ref="N68">IF(OR(C68="",M68="",M68=0),"",M68)</f>
        <v/>
      </c>
      <c r="O68" s="12">
</c>
      <c r="P68" s="12" cm="1" t="str">
        <f t="array" ref="P68">IF(C68="","",IF(OR(O68="",O68=0),"-",O68))</f>
        <v/>
      </c>
      <c r="Q68" s="13">
</c>
      <c r="R68" s="9" cm="1" t="str">
        <f t="array" ref="R68">IF(C68="","",ROUND(Q68/1000000,3)&amp;" M€")</f>
        <v/>
      </c>
      <c r="S68" s="9">
</c>
      <c r="T68" s="9" cm="1" t="str">
        <f t="array" ref="T68">IF(C68="","",SUBSTITUTE(S68,"","")&amp;"%")</f>
        <v/>
      </c>
      <c r="U68" s="11" cm="1" t="str">
        <f t="array" ref="U68">IF(($N68="")*($P68=""),"",IF(($N68&lt;&gt;"")*($N68&gt;TODAY()-9)*($N68&lt;TODAY()+1)*($P68&lt;&gt;"")*($P68&gt;=TODAY())*($P68&lt;=TODAY()+13),"Semaine passée &amp; à venir",IF(($N68&lt;&gt;"")*($N68&gt;TODAY()-9)*($N68&lt;TODAY()+1),"Semaine passée",IF(($P68&lt;&gt;"")*($P68&gt;=TODAY())*($P68&lt;=TODAY()+13),"À venir","Autre"))))</f>
        <v/>
      </c>
      <c r="V68" s="5" cm="1" t="n">
        <f t="array" ref="V68">IF(C68&lt;&gt;"",1,0)</f>
        <v>0</v>
      </c>
      <c r="W68" s="5">
</c>
      <c r="X68" s="5">
</c>
      <c r="Y68" s="5">
</c>
      <c r="Z68" s="5">
</c>
      <c r="AA68" s="5">
</c>
      <c r="AB68" s="5">
</c>
      <c r="AC68" s="5">
</c>
      <c r="AD68" s="5">
</c>
      <c r="AE68" s="5">
</c>
      <c r="AF68" s="5">
</c>
      <c r="AG68" s="5">
</c>
      <c r="AH68" s="5">
</c>
      <c r="AI68" s="5">
</c>
      <c r="AJ68" s="5">
</c>
    </row>
    <row r="69" ht="81" customHeight="1">
      <c r="A69" s="6">
</c>
      <c r="B69" s="6">
</c>
      <c r="C69" s="9">
</c>
      <c r="D69" s="9">
</c>
      <c r="E69" s="6">
</c>
      <c r="F69" s="5">
</c>
      <c r="G69" s="10" cm="1" t="str">
        <f t="array" ref="G69">IF(F69="","",SUBSTITUTE(SUBSTITUTE(SUBSTITUTE(SUBSTITUTE(F69,"&lt;li&gt;",CHAR(10)),"&lt;/li&gt;",""),"&lt;br&gt;",CHAR(10)),"&lt;strong&gt;",""))</f>
        <v/>
      </c>
      <c r="H69" s="10" cm="1" t="str">
        <f t="array" ref="H69">IF(G69="","",SUBSTITUTE(SUBSTITUTE(SUBSTITUTE(SUBSTITUTE(SUBSTITUTE(G69,"&lt;p&gt;",""),"&lt;/p&gt;",""),"&lt;ul&gt;",""),"&lt;/ul&gt;",""),"&lt;/strong&gt;",""))</f>
        <v/>
      </c>
      <c r="I69" s="11" cm="1" t="str">
        <f t="array" ref="I69">IF(C69="","",IF(OR(H69="",H69=0,H69=FALSE),"-",H69))</f>
        <v/>
      </c>
      <c r="J69" s="5">
</c>
      <c r="K69" s="6">
</c>
      <c r="L69" s="6" cm="1" t="str">
        <f t="array" ref="L69">IF(C69="","",IF(K69="Mort / Plus rien à faire","KO","OK"))</f>
        <v/>
      </c>
      <c r="M69" s="12">
</c>
      <c r="N69" s="12" cm="1" t="str">
        <f t="array" ref="N69">IF(OR(C69="",M69="",M69=0),"",M69)</f>
        <v/>
      </c>
      <c r="O69" s="12">
</c>
      <c r="P69" s="12" cm="1" t="str">
        <f t="array" ref="P69">IF(C69="","",IF(OR(O69="",O69=0),"-",O69))</f>
        <v/>
      </c>
      <c r="Q69" s="13">
</c>
      <c r="R69" s="9" cm="1" t="str">
        <f t="array" ref="R69">IF(C69="","",ROUND(Q69/1000000,3)&amp;" M€")</f>
        <v/>
      </c>
      <c r="S69" s="9">
</c>
      <c r="T69" s="9" cm="1" t="str">
        <f t="array" ref="T69">IF(C69="","",SUBSTITUTE(S69,"","")&amp;"%")</f>
        <v/>
      </c>
      <c r="U69" s="11" cm="1" t="str">
        <f t="array" ref="U69">IF(($N69="")*($P69=""),"",IF(($N69&lt;&gt;"")*($N69&gt;TODAY()-9)*($N69&lt;TODAY()+1)*($P69&lt;&gt;"")*($P69&gt;=TODAY())*($P69&lt;=TODAY()+13),"Semaine passée &amp; à venir",IF(($N69&lt;&gt;"")*($N69&gt;TODAY()-9)*($N69&lt;TODAY()+1),"Semaine passée",IF(($P69&lt;&gt;"")*($P69&gt;=TODAY())*($P69&lt;=TODAY()+13),"À venir","Autre"))))</f>
        <v/>
      </c>
      <c r="V69" s="5" cm="1" t="n">
        <f t="array" ref="V69">IF(C69&lt;&gt;"",1,0)</f>
        <v>0</v>
      </c>
      <c r="W69" s="5">
</c>
      <c r="X69" s="5">
</c>
      <c r="Y69" s="5">
</c>
      <c r="Z69" s="5">
</c>
      <c r="AA69" s="5">
</c>
      <c r="AB69" s="5">
</c>
      <c r="AC69" s="5">
</c>
      <c r="AD69" s="5">
</c>
      <c r="AE69" s="5">
</c>
      <c r="AF69" s="5">
</c>
      <c r="AG69" s="5">
</c>
      <c r="AH69" s="5">
</c>
      <c r="AI69" s="5">
</c>
      <c r="AJ69" s="5">
</c>
    </row>
    <row r="70" ht="81" customHeight="1">
      <c r="A70" s="6">
</c>
      <c r="B70" s="6">
</c>
      <c r="C70" s="9">
</c>
      <c r="D70" s="9">
</c>
      <c r="E70" s="6">
</c>
      <c r="F70" s="5">
</c>
      <c r="G70" s="10" cm="1" t="str">
        <f t="array" ref="G70">IF(F70="","",SUBSTITUTE(SUBSTITUTE(SUBSTITUTE(SUBSTITUTE(F70,"&lt;li&gt;",CHAR(10)),"&lt;/li&gt;",""),"&lt;br&gt;",CHAR(10)),"&lt;strong&gt;",""))</f>
        <v/>
      </c>
      <c r="H70" s="10" cm="1" t="str">
        <f t="array" ref="H70">IF(G70="","",SUBSTITUTE(SUBSTITUTE(SUBSTITUTE(SUBSTITUTE(SUBSTITUTE(G70,"&lt;p&gt;",""),"&lt;/p&gt;",""),"&lt;ul&gt;",""),"&lt;/ul&gt;",""),"&lt;/strong&gt;",""))</f>
        <v/>
      </c>
      <c r="I70" s="11" cm="1" t="str">
        <f t="array" ref="I70">IF(C70="","",IF(OR(H70="",H70=0,H70=FALSE),"-",H70))</f>
        <v/>
      </c>
      <c r="J70" s="5">
</c>
      <c r="K70" s="6">
</c>
      <c r="L70" s="6" cm="1" t="str">
        <f t="array" ref="L70">IF(C70="","",IF(K70="Mort / Plus rien à faire","KO","OK"))</f>
        <v/>
      </c>
      <c r="M70" s="12">
</c>
      <c r="N70" s="12" cm="1" t="str">
        <f t="array" ref="N70">IF(OR(C70="",M70="",M70=0),"",M70)</f>
        <v/>
      </c>
      <c r="O70" s="12">
</c>
      <c r="P70" s="12" cm="1" t="str">
        <f t="array" ref="P70">IF(C70="","",IF(OR(O70="",O70=0),"-",O70))</f>
        <v/>
      </c>
      <c r="Q70" s="13">
</c>
      <c r="R70" s="9" cm="1" t="str">
        <f t="array" ref="R70">IF(C70="","",ROUND(Q70/1000000,3)&amp;" M€")</f>
        <v/>
      </c>
      <c r="S70" s="9">
</c>
      <c r="T70" s="9" cm="1" t="str">
        <f t="array" ref="T70">IF(C70="","",SUBSTITUTE(S70,"","")&amp;"%")</f>
        <v/>
      </c>
      <c r="U70" s="11" cm="1" t="str">
        <f t="array" ref="U70">IF(($N70="")*($P70=""),"",IF(($N70&lt;&gt;"")*($N70&gt;TODAY()-9)*($N70&lt;TODAY()+1)*($P70&lt;&gt;"")*($P70&gt;=TODAY())*($P70&lt;=TODAY()+13),"Semaine passée &amp; à venir",IF(($N70&lt;&gt;"")*($N70&gt;TODAY()-9)*($N70&lt;TODAY()+1),"Semaine passée",IF(($P70&lt;&gt;"")*($P70&gt;=TODAY())*($P70&lt;=TODAY()+13),"À venir","Autre"))))</f>
        <v/>
      </c>
      <c r="V70" s="5" cm="1" t="n">
        <f t="array" ref="V70">IF(C70&lt;&gt;"",1,0)</f>
        <v>0</v>
      </c>
      <c r="W70" s="5">
</c>
      <c r="X70" s="5">
</c>
      <c r="Y70" s="5">
</c>
      <c r="Z70" s="5">
</c>
      <c r="AA70" s="5">
</c>
      <c r="AB70" s="5">
</c>
      <c r="AC70" s="5">
</c>
      <c r="AD70" s="5">
</c>
      <c r="AE70" s="5">
</c>
      <c r="AF70" s="5">
</c>
      <c r="AG70" s="5">
</c>
      <c r="AH70" s="5">
</c>
      <c r="AI70" s="5">
</c>
      <c r="AJ70" s="5">
</c>
    </row>
    <row r="71" ht="81" customHeight="1">
      <c r="A71" s="6">
</c>
      <c r="B71" s="6">
</c>
      <c r="C71" s="9">
</c>
      <c r="D71" s="9">
</c>
      <c r="E71" s="6">
</c>
      <c r="F71" s="5">
</c>
      <c r="G71" s="10" cm="1" t="str">
        <f t="array" ref="G71">IF(F71="","",SUBSTITUTE(SUBSTITUTE(SUBSTITUTE(SUBSTITUTE(F71,"&lt;li&gt;",CHAR(10)),"&lt;/li&gt;",""),"&lt;br&gt;",CHAR(10)),"&lt;strong&gt;",""))</f>
        <v/>
      </c>
      <c r="H71" s="10" cm="1" t="str">
        <f t="array" ref="H71">IF(G71="","",SUBSTITUTE(SUBSTITUTE(SUBSTITUTE(SUBSTITUTE(SUBSTITUTE(G71,"&lt;p&gt;",""),"&lt;/p&gt;",""),"&lt;ul&gt;",""),"&lt;/ul&gt;",""),"&lt;/strong&gt;",""))</f>
        <v/>
      </c>
      <c r="I71" s="11" cm="1" t="str">
        <f t="array" ref="I71">IF(C71="","",IF(OR(H71="",H71=0,H71=FALSE),"-",H71))</f>
        <v/>
      </c>
      <c r="J71" s="5">
</c>
      <c r="K71" s="6">
</c>
      <c r="L71" s="6" cm="1" t="str">
        <f t="array" ref="L71">IF(C71="","",IF(K71="Mort / Plus rien à faire","KO","OK"))</f>
        <v/>
      </c>
      <c r="M71" s="12">
</c>
      <c r="N71" s="12" cm="1" t="str">
        <f t="array" ref="N71">IF(OR(C71="",M71="",M71=0),"",M71)</f>
        <v/>
      </c>
      <c r="O71" s="12">
</c>
      <c r="P71" s="12" cm="1" t="str">
        <f t="array" ref="P71">IF(C71="","",IF(OR(O71="",O71=0),"-",O71))</f>
        <v/>
      </c>
      <c r="Q71" s="13">
</c>
      <c r="R71" s="9" cm="1" t="str">
        <f t="array" ref="R71">IF(C71="","",ROUND(Q71/1000000,3)&amp;" M€")</f>
        <v/>
      </c>
      <c r="S71" s="9">
</c>
      <c r="T71" s="9" cm="1" t="str">
        <f t="array" ref="T71">IF(C71="","",SUBSTITUTE(S71,"","")&amp;"%")</f>
        <v/>
      </c>
      <c r="U71" s="11" cm="1" t="str">
        <f t="array" ref="U71">IF(($N71="")*($P71=""),"",IF(($N71&lt;&gt;"")*($N71&gt;TODAY()-9)*($N71&lt;TODAY()+1)*($P71&lt;&gt;"")*($P71&gt;=TODAY())*($P71&lt;=TODAY()+13),"Semaine passée &amp; à venir",IF(($N71&lt;&gt;"")*($N71&gt;TODAY()-9)*($N71&lt;TODAY()+1),"Semaine passée",IF(($P71&lt;&gt;"")*($P71&gt;=TODAY())*($P71&lt;=TODAY()+13),"À venir","Autre"))))</f>
        <v/>
      </c>
      <c r="V71" s="5" cm="1" t="n">
        <f t="array" ref="V71">IF(C71&lt;&gt;"",1,0)</f>
        <v>0</v>
      </c>
      <c r="W71" s="5">
</c>
      <c r="X71" s="5">
</c>
      <c r="Y71" s="5">
</c>
      <c r="Z71" s="5">
</c>
      <c r="AA71" s="5">
</c>
      <c r="AB71" s="5">
</c>
      <c r="AC71" s="5">
</c>
      <c r="AD71" s="5">
</c>
      <c r="AE71" s="5">
</c>
      <c r="AF71" s="5">
</c>
      <c r="AG71" s="5">
</c>
      <c r="AH71" s="5">
</c>
      <c r="AI71" s="5">
</c>
      <c r="AJ71" s="5">
</c>
    </row>
    <row r="72" ht="81" customHeight="1">
      <c r="A72" s="6">
</c>
      <c r="B72" s="6">
</c>
      <c r="C72" s="9">
</c>
      <c r="D72" s="9">
</c>
      <c r="E72" s="6">
</c>
      <c r="F72" s="5">
</c>
      <c r="G72" s="10" cm="1" t="str">
        <f t="array" ref="G72">IF(F72="","",SUBSTITUTE(SUBSTITUTE(SUBSTITUTE(SUBSTITUTE(F72,"&lt;li&gt;",CHAR(10)),"&lt;/li&gt;",""),"&lt;br&gt;",CHAR(10)),"&lt;strong&gt;",""))</f>
        <v/>
      </c>
      <c r="H72" s="10" cm="1" t="str">
        <f t="array" ref="H72">IF(G72="","",SUBSTITUTE(SUBSTITUTE(SUBSTITUTE(SUBSTITUTE(SUBSTITUTE(G72,"&lt;p&gt;",""),"&lt;/p&gt;",""),"&lt;ul&gt;",""),"&lt;/ul&gt;",""),"&lt;/strong&gt;",""))</f>
        <v/>
      </c>
      <c r="I72" s="11" cm="1" t="str">
        <f t="array" ref="I72">IF(C72="","",IF(OR(H72="",H72=0,H72=FALSE),"-",H72))</f>
        <v/>
      </c>
      <c r="J72" s="5">
</c>
      <c r="K72" s="6">
</c>
      <c r="L72" s="6" cm="1" t="str">
        <f t="array" ref="L72">IF(C72="","",IF(K72="Mort / Plus rien à faire","KO","OK"))</f>
        <v/>
      </c>
      <c r="M72" s="12">
</c>
      <c r="N72" s="12" cm="1" t="str">
        <f t="array" ref="N72">IF(OR(C72="",M72="",M72=0),"",M72)</f>
        <v/>
      </c>
      <c r="O72" s="12">
</c>
      <c r="P72" s="12" cm="1" t="str">
        <f t="array" ref="P72">IF(C72="","",IF(OR(O72="",O72=0),"-",O72))</f>
        <v/>
      </c>
      <c r="Q72" s="13">
</c>
      <c r="R72" s="9" cm="1" t="str">
        <f t="array" ref="R72">IF(C72="","",ROUND(Q72/1000000,3)&amp;" M€")</f>
        <v/>
      </c>
      <c r="S72" s="9">
</c>
      <c r="T72" s="9" cm="1" t="str">
        <f t="array" ref="T72">IF(C72="","",SUBSTITUTE(S72,"","")&amp;"%")</f>
        <v/>
      </c>
      <c r="U72" s="11" cm="1" t="str">
        <f t="array" ref="U72">IF(($N72="")*($P72=""),"",IF(($N72&lt;&gt;"")*($N72&gt;TODAY()-9)*($N72&lt;TODAY()+1)*($P72&lt;&gt;"")*($P72&gt;=TODAY())*($P72&lt;=TODAY()+13),"Semaine passée &amp; à venir",IF(($N72&lt;&gt;"")*($N72&gt;TODAY()-9)*($N72&lt;TODAY()+1),"Semaine passée",IF(($P72&lt;&gt;"")*($P72&gt;=TODAY())*($P72&lt;=TODAY()+13),"À venir","Autre"))))</f>
        <v/>
      </c>
      <c r="V72" s="5" cm="1" t="n">
        <f t="array" ref="V72">IF(C72&lt;&gt;"",1,0)</f>
        <v>0</v>
      </c>
      <c r="W72" s="5">
</c>
      <c r="X72" s="5">
</c>
      <c r="Y72" s="5">
</c>
      <c r="Z72" s="5">
</c>
      <c r="AA72" s="5">
</c>
      <c r="AB72" s="5">
</c>
      <c r="AC72" s="5">
</c>
      <c r="AD72" s="5">
</c>
      <c r="AE72" s="5">
</c>
      <c r="AF72" s="5">
</c>
      <c r="AG72" s="5">
</c>
      <c r="AH72" s="5">
</c>
      <c r="AI72" s="5">
</c>
      <c r="AJ72" s="5">
</c>
    </row>
    <row r="73" ht="81" customHeight="1">
      <c r="A73" s="6">
</c>
      <c r="B73" s="6">
</c>
      <c r="C73" s="9">
</c>
      <c r="D73" s="9">
</c>
      <c r="E73" s="6">
</c>
      <c r="F73" s="5">
</c>
      <c r="G73" s="10" cm="1" t="str">
        <f t="array" ref="G73">IF(F73="","",SUBSTITUTE(SUBSTITUTE(SUBSTITUTE(SUBSTITUTE(F73,"&lt;li&gt;",CHAR(10)),"&lt;/li&gt;",""),"&lt;br&gt;",CHAR(10)),"&lt;strong&gt;",""))</f>
        <v/>
      </c>
      <c r="H73" s="10" cm="1" t="str">
        <f t="array" ref="H73">IF(G73="","",SUBSTITUTE(SUBSTITUTE(SUBSTITUTE(SUBSTITUTE(SUBSTITUTE(G73,"&lt;p&gt;",""),"&lt;/p&gt;",""),"&lt;ul&gt;",""),"&lt;/ul&gt;",""),"&lt;/strong&gt;",""))</f>
        <v/>
      </c>
      <c r="I73" s="11" cm="1" t="str">
        <f t="array" ref="I73">IF(C73="","",IF(OR(H73="",H73=0,H73=FALSE),"-",H73))</f>
        <v/>
      </c>
      <c r="J73" s="5">
</c>
      <c r="K73" s="6">
</c>
      <c r="L73" s="6" cm="1" t="str">
        <f t="array" ref="L73">IF(C73="","",IF(K73="Mort / Plus rien à faire","KO","OK"))</f>
        <v/>
      </c>
      <c r="M73" s="12">
</c>
      <c r="N73" s="12" cm="1" t="str">
        <f t="array" ref="N73">IF(OR(C73="",M73="",M73=0),"",M73)</f>
        <v/>
      </c>
      <c r="O73" s="12">
</c>
      <c r="P73" s="12" cm="1" t="str">
        <f t="array" ref="P73">IF(C73="","",IF(OR(O73="",O73=0),"-",O73))</f>
        <v/>
      </c>
      <c r="Q73" s="13">
</c>
      <c r="R73" s="9" cm="1" t="str">
        <f t="array" ref="R73">IF(C73="","",ROUND(Q73/1000000,3)&amp;" M€")</f>
        <v/>
      </c>
      <c r="S73" s="9">
</c>
      <c r="T73" s="9" cm="1" t="str">
        <f t="array" ref="T73">IF(C73="","",SUBSTITUTE(S73,"","")&amp;"%")</f>
        <v/>
      </c>
      <c r="U73" s="11" cm="1" t="str">
        <f t="array" ref="U73">IF(($N73="")*($P73=""),"",IF(($N73&lt;&gt;"")*($N73&gt;TODAY()-9)*($N73&lt;TODAY()+1)*($P73&lt;&gt;"")*($P73&gt;=TODAY())*($P73&lt;=TODAY()+13),"Semaine passée &amp; à venir",IF(($N73&lt;&gt;"")*($N73&gt;TODAY()-9)*($N73&lt;TODAY()+1),"Semaine passée",IF(($P73&lt;&gt;"")*($P73&gt;=TODAY())*($P73&lt;=TODAY()+13),"À venir","Autre"))))</f>
        <v/>
      </c>
      <c r="V73" s="5" cm="1" t="n">
        <f t="array" ref="V73">IF(C73&lt;&gt;"",1,0)</f>
        <v>0</v>
      </c>
      <c r="W73" s="5">
</c>
      <c r="X73" s="5">
</c>
      <c r="Y73" s="5">
</c>
      <c r="Z73" s="5">
</c>
      <c r="AA73" s="5">
</c>
      <c r="AB73" s="5">
</c>
      <c r="AC73" s="5">
</c>
      <c r="AD73" s="5">
</c>
      <c r="AE73" s="5">
</c>
      <c r="AF73" s="5">
</c>
      <c r="AG73" s="5">
</c>
      <c r="AH73" s="5">
</c>
      <c r="AI73" s="5">
</c>
      <c r="AJ73" s="5">
</c>
    </row>
    <row r="74" ht="81" customHeight="1">
      <c r="A74" s="6">
</c>
      <c r="B74" s="6">
</c>
      <c r="C74" s="9">
</c>
      <c r="D74" s="9">
</c>
      <c r="E74" s="6">
</c>
      <c r="F74" s="5">
</c>
      <c r="G74" s="10" cm="1" t="str">
        <f t="array" ref="G74">IF(F74="","",SUBSTITUTE(SUBSTITUTE(SUBSTITUTE(SUBSTITUTE(F74,"&lt;li&gt;",CHAR(10)),"&lt;/li&gt;",""),"&lt;br&gt;",CHAR(10)),"&lt;strong&gt;",""))</f>
        <v/>
      </c>
      <c r="H74" s="10" cm="1" t="str">
        <f t="array" ref="H74">IF(G74="","",SUBSTITUTE(SUBSTITUTE(SUBSTITUTE(SUBSTITUTE(SUBSTITUTE(G74,"&lt;p&gt;",""),"&lt;/p&gt;",""),"&lt;ul&gt;",""),"&lt;/ul&gt;",""),"&lt;/strong&gt;",""))</f>
        <v/>
      </c>
      <c r="I74" s="11" cm="1" t="str">
        <f t="array" ref="I74">IF(C74="","",IF(OR(H74="",H74=0,H74=FALSE),"-",H74))</f>
        <v/>
      </c>
      <c r="J74" s="5">
</c>
      <c r="K74" s="6">
</c>
      <c r="L74" s="6" cm="1" t="str">
        <f t="array" ref="L74">IF(C74="","",IF(K74="Mort / Plus rien à faire","KO","OK"))</f>
        <v/>
      </c>
      <c r="M74" s="12">
</c>
      <c r="N74" s="12" cm="1" t="str">
        <f t="array" ref="N74">IF(OR(C74="",M74="",M74=0),"",M74)</f>
        <v/>
      </c>
      <c r="O74" s="12">
</c>
      <c r="P74" s="12" cm="1" t="str">
        <f t="array" ref="P74">IF(C74="","",IF(OR(O74="",O74=0),"-",O74))</f>
        <v/>
      </c>
      <c r="Q74" s="13">
</c>
      <c r="R74" s="9" cm="1" t="str">
        <f t="array" ref="R74">IF(C74="","",ROUND(Q74/1000000,3)&amp;" M€")</f>
        <v/>
      </c>
      <c r="S74" s="9">
</c>
      <c r="T74" s="9" cm="1" t="str">
        <f t="array" ref="T74">IF(C74="","",SUBSTITUTE(S74,"","")&amp;"%")</f>
        <v/>
      </c>
      <c r="U74" s="11" cm="1" t="str">
        <f t="array" ref="U74">IF(($N74="")*($P74=""),"",IF(($N74&lt;&gt;"")*($N74&gt;TODAY()-9)*($N74&lt;TODAY()+1)*($P74&lt;&gt;"")*($P74&gt;=TODAY())*($P74&lt;=TODAY()+13),"Semaine passée &amp; à venir",IF(($N74&lt;&gt;"")*($N74&gt;TODAY()-9)*($N74&lt;TODAY()+1),"Semaine passée",IF(($P74&lt;&gt;"")*($P74&gt;=TODAY())*($P74&lt;=TODAY()+13),"À venir","Autre"))))</f>
        <v/>
      </c>
      <c r="V74" s="5" cm="1" t="n">
        <f t="array" ref="V74">IF(C74&lt;&gt;"",1,0)</f>
        <v>0</v>
      </c>
      <c r="W74" s="5">
</c>
      <c r="X74" s="5">
</c>
      <c r="Y74" s="5">
</c>
      <c r="Z74" s="5">
</c>
      <c r="AA74" s="5">
</c>
      <c r="AB74" s="5">
</c>
      <c r="AC74" s="5">
</c>
      <c r="AD74" s="5">
</c>
      <c r="AE74" s="5">
</c>
      <c r="AF74" s="5">
</c>
      <c r="AG74" s="5">
</c>
      <c r="AH74" s="5">
</c>
      <c r="AI74" s="5">
</c>
      <c r="AJ74" s="5">
</c>
    </row>
    <row r="75" ht="81" customHeight="1">
      <c r="A75" s="6">
</c>
      <c r="B75" s="6">
</c>
      <c r="C75" s="9">
</c>
      <c r="D75" s="9">
</c>
      <c r="E75" s="6">
</c>
      <c r="F75" s="5">
</c>
      <c r="G75" s="10" cm="1" t="str">
        <f t="array" ref="G75">IF(F75="","",SUBSTITUTE(SUBSTITUTE(SUBSTITUTE(SUBSTITUTE(F75,"&lt;li&gt;",CHAR(10)),"&lt;/li&gt;",""),"&lt;br&gt;",CHAR(10)),"&lt;strong&gt;",""))</f>
        <v/>
      </c>
      <c r="H75" s="10" cm="1" t="str">
        <f t="array" ref="H75">IF(G75="","",SUBSTITUTE(SUBSTITUTE(SUBSTITUTE(SUBSTITUTE(SUBSTITUTE(G75,"&lt;p&gt;",""),"&lt;/p&gt;",""),"&lt;ul&gt;",""),"&lt;/ul&gt;",""),"&lt;/strong&gt;",""))</f>
        <v/>
      </c>
      <c r="I75" s="11" cm="1" t="str">
        <f t="array" ref="I75">IF(C75="","",IF(OR(H75="",H75=0,H75=FALSE),"-",H75))</f>
        <v/>
      </c>
      <c r="J75" s="5">
</c>
      <c r="K75" s="6">
</c>
      <c r="L75" s="6" cm="1" t="str">
        <f t="array" ref="L75">IF(C75="","",IF(K75="Mort / Plus rien à faire","KO","OK"))</f>
        <v/>
      </c>
      <c r="M75" s="12">
</c>
      <c r="N75" s="12" cm="1" t="str">
        <f t="array" ref="N75">IF(OR(C75="",M75="",M75=0),"",M75)</f>
        <v/>
      </c>
      <c r="O75" s="12">
</c>
      <c r="P75" s="12" cm="1" t="str">
        <f t="array" ref="P75">IF(C75="","",IF(OR(O75="",O75=0),"-",O75))</f>
        <v/>
      </c>
      <c r="Q75" s="13">
</c>
      <c r="R75" s="9" cm="1" t="str">
        <f t="array" ref="R75">IF(C75="","",ROUND(Q75/1000000,3)&amp;" M€")</f>
        <v/>
      </c>
      <c r="S75" s="9">
</c>
      <c r="T75" s="9" cm="1" t="str">
        <f t="array" ref="T75">IF(C75="","",SUBSTITUTE(S75,"","")&amp;"%")</f>
        <v/>
      </c>
      <c r="U75" s="11" cm="1" t="str">
        <f t="array" ref="U75">IF(($N75="")*($P75=""),"",IF(($N75&lt;&gt;"")*($N75&gt;TODAY()-9)*($N75&lt;TODAY()+1)*($P75&lt;&gt;"")*($P75&gt;=TODAY())*($P75&lt;=TODAY()+13),"Semaine passée &amp; à venir",IF(($N75&lt;&gt;"")*($N75&gt;TODAY()-9)*($N75&lt;TODAY()+1),"Semaine passée",IF(($P75&lt;&gt;"")*($P75&gt;=TODAY())*($P75&lt;=TODAY()+13),"À venir","Autre"))))</f>
        <v/>
      </c>
      <c r="V75" s="5" cm="1" t="n">
        <f t="array" ref="V75">IF(C75&lt;&gt;"",1,0)</f>
        <v>0</v>
      </c>
      <c r="W75" s="5">
</c>
      <c r="X75" s="5">
</c>
      <c r="Y75" s="5">
</c>
      <c r="Z75" s="5">
</c>
      <c r="AA75" s="5">
</c>
      <c r="AB75" s="5">
</c>
      <c r="AC75" s="5">
</c>
      <c r="AD75" s="5">
</c>
      <c r="AE75" s="5">
</c>
      <c r="AF75" s="5">
</c>
      <c r="AG75" s="5">
</c>
      <c r="AH75" s="5">
</c>
      <c r="AI75" s="5">
</c>
      <c r="AJ75" s="5">
</c>
    </row>
    <row r="76" ht="81" customHeight="1">
      <c r="A76" s="6">
</c>
      <c r="B76" s="6">
</c>
      <c r="C76" s="9">
</c>
      <c r="D76" s="9">
</c>
      <c r="E76" s="6">
</c>
      <c r="F76" s="5">
</c>
      <c r="G76" s="10" cm="1" t="str">
        <f t="array" ref="G76">IF(F76="","",SUBSTITUTE(SUBSTITUTE(SUBSTITUTE(SUBSTITUTE(F76,"&lt;li&gt;",CHAR(10)),"&lt;/li&gt;",""),"&lt;br&gt;",CHAR(10)),"&lt;strong&gt;",""))</f>
        <v/>
      </c>
      <c r="H76" s="10" cm="1" t="str">
        <f t="array" ref="H76">IF(G76="","",SUBSTITUTE(SUBSTITUTE(SUBSTITUTE(SUBSTITUTE(SUBSTITUTE(G76,"&lt;p&gt;",""),"&lt;/p&gt;",""),"&lt;ul&gt;",""),"&lt;/ul&gt;",""),"&lt;/strong&gt;",""))</f>
        <v/>
      </c>
      <c r="I76" s="11" cm="1" t="str">
        <f t="array" ref="I76">IF(C76="","",IF(OR(H76="",H76=0,H76=FALSE),"-",H76))</f>
        <v/>
      </c>
      <c r="J76" s="5">
</c>
      <c r="K76" s="6">
</c>
      <c r="L76" s="6" cm="1" t="str">
        <f t="array" ref="L76">IF(C76="","",IF(K76="Mort / Plus rien à faire","KO","OK"))</f>
        <v/>
      </c>
      <c r="M76" s="12">
</c>
      <c r="N76" s="12" cm="1" t="str">
        <f t="array" ref="N76">IF(OR(C76="",M76="",M76=0),"",M76)</f>
        <v/>
      </c>
      <c r="O76" s="12">
</c>
      <c r="P76" s="12" cm="1" t="str">
        <f t="array" ref="P76">IF(C76="","",IF(OR(O76="",O76=0),"-",O76))</f>
        <v/>
      </c>
      <c r="Q76" s="13">
</c>
      <c r="R76" s="9" cm="1" t="str">
        <f t="array" ref="R76">IF(C76="","",ROUND(Q76/1000000,3)&amp;" M€")</f>
        <v/>
      </c>
      <c r="S76" s="9">
</c>
      <c r="T76" s="9" cm="1" t="str">
        <f t="array" ref="T76">IF(C76="","",SUBSTITUTE(S76,"","")&amp;"%")</f>
        <v/>
      </c>
      <c r="U76" s="11" cm="1" t="str">
        <f t="array" ref="U76">IF(($N76="")*($P76=""),"",IF(($N76&lt;&gt;"")*($N76&gt;TODAY()-9)*($N76&lt;TODAY()+1)*($P76&lt;&gt;"")*($P76&gt;=TODAY())*($P76&lt;=TODAY()+13),"Semaine passée &amp; à venir",IF(($N76&lt;&gt;"")*($N76&gt;TODAY()-9)*($N76&lt;TODAY()+1),"Semaine passée",IF(($P76&lt;&gt;"")*($P76&gt;=TODAY())*($P76&lt;=TODAY()+13),"À venir","Autre"))))</f>
        <v/>
      </c>
      <c r="V76" s="5" cm="1" t="n">
        <f t="array" ref="V76">IF(C76&lt;&gt;"",1,0)</f>
        <v>0</v>
      </c>
      <c r="W76" s="5">
</c>
      <c r="X76" s="5">
</c>
      <c r="Y76" s="5">
</c>
      <c r="Z76" s="5">
</c>
      <c r="AA76" s="5">
</c>
      <c r="AB76" s="5">
</c>
      <c r="AC76" s="5">
</c>
      <c r="AD76" s="5">
</c>
      <c r="AE76" s="5">
</c>
      <c r="AF76" s="5">
</c>
      <c r="AG76" s="5">
</c>
      <c r="AH76" s="5">
</c>
      <c r="AI76" s="5">
</c>
      <c r="AJ76" s="5">
</c>
    </row>
    <row r="77" ht="81" customHeight="1">
      <c r="A77" s="6">
</c>
      <c r="B77" s="6">
</c>
      <c r="C77" s="9">
</c>
      <c r="D77" s="9">
</c>
      <c r="E77" s="6">
</c>
      <c r="F77" s="5">
</c>
      <c r="G77" s="10" cm="1" t="str">
        <f t="array" ref="G77">IF(F77="","",SUBSTITUTE(SUBSTITUTE(SUBSTITUTE(SUBSTITUTE(F77,"&lt;li&gt;",CHAR(10)),"&lt;/li&gt;",""),"&lt;br&gt;",CHAR(10)),"&lt;strong&gt;",""))</f>
        <v/>
      </c>
      <c r="H77" s="10" cm="1" t="str">
        <f t="array" ref="H77">IF(G77="","",SUBSTITUTE(SUBSTITUTE(SUBSTITUTE(SUBSTITUTE(SUBSTITUTE(G77,"&lt;p&gt;",""),"&lt;/p&gt;",""),"&lt;ul&gt;",""),"&lt;/ul&gt;",""),"&lt;/strong&gt;",""))</f>
        <v/>
      </c>
      <c r="I77" s="11" cm="1" t="str">
        <f t="array" ref="I77">IF(C77="","",IF(OR(H77="",H77=0,H77=FALSE),"-",H77))</f>
        <v/>
      </c>
      <c r="J77" s="5">
</c>
      <c r="K77" s="6">
</c>
      <c r="L77" s="6" cm="1" t="str">
        <f t="array" ref="L77">IF(C77="","",IF(K77="Mort / Plus rien à faire","KO","OK"))</f>
        <v/>
      </c>
      <c r="M77" s="12">
</c>
      <c r="N77" s="12" cm="1" t="str">
        <f t="array" ref="N77">IF(OR(C77="",M77="",M77=0),"",M77)</f>
        <v/>
      </c>
      <c r="O77" s="12">
</c>
      <c r="P77" s="12" cm="1" t="str">
        <f t="array" ref="P77">IF(C77="","",IF(OR(O77="",O77=0),"-",O77))</f>
        <v/>
      </c>
      <c r="Q77" s="13">
</c>
      <c r="R77" s="9" cm="1" t="str">
        <f t="array" ref="R77">IF(C77="","",ROUND(Q77/1000000,3)&amp;" M€")</f>
        <v/>
      </c>
      <c r="S77" s="9">
</c>
      <c r="T77" s="9" cm="1" t="str">
        <f t="array" ref="T77">IF(C77="","",SUBSTITUTE(S77,"","")&amp;"%")</f>
        <v/>
      </c>
      <c r="U77" s="11" cm="1" t="str">
        <f t="array" ref="U77">IF(($N77="")*($P77=""),"",IF(($N77&lt;&gt;"")*($N77&gt;TODAY()-9)*($N77&lt;TODAY()+1)*($P77&lt;&gt;"")*($P77&gt;=TODAY())*($P77&lt;=TODAY()+13),"Semaine passée &amp; à venir",IF(($N77&lt;&gt;"")*($N77&gt;TODAY()-9)*($N77&lt;TODAY()+1),"Semaine passée",IF(($P77&lt;&gt;"")*($P77&gt;=TODAY())*($P77&lt;=TODAY()+13),"À venir","Autre"))))</f>
        <v/>
      </c>
      <c r="V77" s="5" cm="1" t="n">
        <f t="array" ref="V77">IF(C77&lt;&gt;"",1,0)</f>
        <v>0</v>
      </c>
      <c r="W77" s="5">
</c>
      <c r="X77" s="5">
</c>
      <c r="Y77" s="5">
</c>
      <c r="Z77" s="5">
</c>
      <c r="AA77" s="5">
</c>
      <c r="AB77" s="5">
</c>
      <c r="AC77" s="5">
</c>
      <c r="AD77" s="5">
</c>
      <c r="AE77" s="5">
</c>
      <c r="AF77" s="5">
</c>
      <c r="AG77" s="5">
</c>
      <c r="AH77" s="5">
</c>
      <c r="AI77" s="5">
</c>
      <c r="AJ77" s="5">
</c>
    </row>
    <row r="78" ht="81" customHeight="1">
      <c r="A78" s="6">
</c>
      <c r="B78" s="6">
</c>
      <c r="C78" s="9">
</c>
      <c r="D78" s="9">
</c>
      <c r="E78" s="6">
</c>
      <c r="F78" s="5">
</c>
      <c r="G78" s="10" cm="1" t="str">
        <f t="array" ref="G78">IF(F78="","",SUBSTITUTE(SUBSTITUTE(SUBSTITUTE(SUBSTITUTE(F78,"&lt;li&gt;",CHAR(10)),"&lt;/li&gt;",""),"&lt;br&gt;",CHAR(10)),"&lt;strong&gt;",""))</f>
        <v/>
      </c>
      <c r="H78" s="10" cm="1" t="str">
        <f t="array" ref="H78">IF(G78="","",SUBSTITUTE(SUBSTITUTE(SUBSTITUTE(SUBSTITUTE(SUBSTITUTE(G78,"&lt;p&gt;",""),"&lt;/p&gt;",""),"&lt;ul&gt;",""),"&lt;/ul&gt;",""),"&lt;/strong&gt;",""))</f>
        <v/>
      </c>
      <c r="I78" s="11" cm="1" t="str">
        <f t="array" ref="I78">IF(C78="","",IF(OR(H78="",H78=0,H78=FALSE),"-",H78))</f>
        <v/>
      </c>
      <c r="J78" s="5">
</c>
      <c r="K78" s="6">
</c>
      <c r="L78" s="6" cm="1" t="str">
        <f t="array" ref="L78">IF(C78="","",IF(K78="Mort / Plus rien à faire","KO","OK"))</f>
        <v/>
      </c>
      <c r="M78" s="12">
</c>
      <c r="N78" s="12" cm="1" t="str">
        <f t="array" ref="N78">IF(OR(C78="",M78="",M78=0),"",M78)</f>
        <v/>
      </c>
      <c r="O78" s="12">
</c>
      <c r="P78" s="12" cm="1" t="str">
        <f t="array" ref="P78">IF(C78="","",IF(OR(O78="",O78=0),"-",O78))</f>
        <v/>
      </c>
      <c r="Q78" s="13">
</c>
      <c r="R78" s="9" cm="1" t="str">
        <f t="array" ref="R78">IF(C78="","",ROUND(Q78/1000000,3)&amp;" M€")</f>
        <v/>
      </c>
      <c r="S78" s="9">
</c>
      <c r="T78" s="9" cm="1" t="str">
        <f t="array" ref="T78">IF(C78="","",SUBSTITUTE(S78,"","")&amp;"%")</f>
        <v/>
      </c>
      <c r="U78" s="11" cm="1" t="str">
        <f t="array" ref="U78">IF(($N78="")*($P78=""),"",IF(($N78&lt;&gt;"")*($N78&gt;TODAY()-9)*($N78&lt;TODAY()+1)*($P78&lt;&gt;"")*($P78&gt;=TODAY())*($P78&lt;=TODAY()+13),"Semaine passée &amp; à venir",IF(($N78&lt;&gt;"")*($N78&gt;TODAY()-9)*($N78&lt;TODAY()+1),"Semaine passée",IF(($P78&lt;&gt;"")*($P78&gt;=TODAY())*($P78&lt;=TODAY()+13),"À venir","Autre"))))</f>
        <v/>
      </c>
      <c r="V78" s="5" cm="1" t="n">
        <f t="array" ref="V78">IF(C78&lt;&gt;"",1,0)</f>
        <v>0</v>
      </c>
      <c r="W78" s="5">
</c>
      <c r="X78" s="5">
</c>
      <c r="Y78" s="5">
</c>
      <c r="Z78" s="5">
</c>
      <c r="AA78" s="5">
</c>
      <c r="AB78" s="5">
</c>
      <c r="AC78" s="5">
</c>
      <c r="AD78" s="5">
</c>
      <c r="AE78" s="5">
</c>
      <c r="AF78" s="5">
</c>
      <c r="AG78" s="5">
</c>
      <c r="AH78" s="5">
</c>
      <c r="AI78" s="5">
</c>
      <c r="AJ78" s="5">
</c>
    </row>
    <row r="79" ht="81" customHeight="1">
      <c r="A79" s="6">
</c>
      <c r="B79" s="6">
</c>
      <c r="C79" s="9">
</c>
      <c r="D79" s="9">
</c>
      <c r="E79" s="6">
</c>
      <c r="F79" s="5">
</c>
      <c r="G79" s="10" cm="1" t="str">
        <f t="array" ref="G79">IF(F79="","",SUBSTITUTE(SUBSTITUTE(SUBSTITUTE(SUBSTITUTE(F79,"&lt;li&gt;",CHAR(10)),"&lt;/li&gt;",""),"&lt;br&gt;",CHAR(10)),"&lt;strong&gt;",""))</f>
        <v/>
      </c>
      <c r="H79" s="10" cm="1" t="str">
        <f t="array" ref="H79">IF(G79="","",SUBSTITUTE(SUBSTITUTE(SUBSTITUTE(SUBSTITUTE(SUBSTITUTE(G79,"&lt;p&gt;",""),"&lt;/p&gt;",""),"&lt;ul&gt;",""),"&lt;/ul&gt;",""),"&lt;/strong&gt;",""))</f>
        <v/>
      </c>
      <c r="I79" s="11" cm="1" t="str">
        <f t="array" ref="I79">IF(C79="","",IF(OR(H79="",H79=0,H79=FALSE),"-",H79))</f>
        <v/>
      </c>
      <c r="J79" s="5">
</c>
      <c r="K79" s="6">
</c>
      <c r="L79" s="6" cm="1" t="str">
        <f t="array" ref="L79">IF(C79="","",IF(K79="Mort / Plus rien à faire","KO","OK"))</f>
        <v/>
      </c>
      <c r="M79" s="12">
</c>
      <c r="N79" s="12" cm="1" t="str">
        <f t="array" ref="N79">IF(OR(C79="",M79="",M79=0),"",M79)</f>
        <v/>
      </c>
      <c r="O79" s="12">
</c>
      <c r="P79" s="12" cm="1" t="str">
        <f t="array" ref="P79">IF(C79="","",IF(OR(O79="",O79=0),"-",O79))</f>
        <v/>
      </c>
      <c r="Q79" s="13">
</c>
      <c r="R79" s="9" cm="1" t="str">
        <f t="array" ref="R79">IF(C79="","",ROUND(Q79/1000000,3)&amp;" M€")</f>
        <v/>
      </c>
      <c r="S79" s="9">
</c>
      <c r="T79" s="9" cm="1" t="str">
        <f t="array" ref="T79">IF(C79="","",SUBSTITUTE(S79,"","")&amp;"%")</f>
        <v/>
      </c>
      <c r="U79" s="11" cm="1" t="str">
        <f t="array" ref="U79">IF(($N79="")*($P79=""),"",IF(($N79&lt;&gt;"")*($N79&gt;TODAY()-9)*($N79&lt;TODAY()+1)*($P79&lt;&gt;"")*($P79&gt;=TODAY())*($P79&lt;=TODAY()+13),"Semaine passée &amp; à venir",IF(($N79&lt;&gt;"")*($N79&gt;TODAY()-9)*($N79&lt;TODAY()+1),"Semaine passée",IF(($P79&lt;&gt;"")*($P79&gt;=TODAY())*($P79&lt;=TODAY()+13),"À venir","Autre"))))</f>
        <v/>
      </c>
      <c r="V79" s="5" cm="1" t="n">
        <f t="array" ref="V79">IF(C79&lt;&gt;"",1,0)</f>
        <v>0</v>
      </c>
      <c r="W79" s="5">
</c>
      <c r="X79" s="5">
</c>
      <c r="Y79" s="5">
</c>
      <c r="Z79" s="5">
</c>
      <c r="AA79" s="5">
</c>
      <c r="AB79" s="5">
</c>
      <c r="AC79" s="5">
</c>
      <c r="AD79" s="5">
</c>
      <c r="AE79" s="5">
</c>
      <c r="AF79" s="5">
</c>
      <c r="AG79" s="5">
</c>
      <c r="AH79" s="5">
</c>
      <c r="AI79" s="5">
</c>
      <c r="AJ79" s="5">
</c>
    </row>
    <row r="80" ht="81" customHeight="1">
      <c r="A80" s="6">
</c>
      <c r="B80" s="6">
</c>
      <c r="C80" s="9">
</c>
      <c r="D80" s="9">
</c>
      <c r="E80" s="6">
</c>
      <c r="F80" s="5">
</c>
      <c r="G80" s="10" cm="1" t="str">
        <f t="array" ref="G80">IF(F80="","",SUBSTITUTE(SUBSTITUTE(SUBSTITUTE(SUBSTITUTE(F80,"&lt;li&gt;",CHAR(10)),"&lt;/li&gt;",""),"&lt;br&gt;",CHAR(10)),"&lt;strong&gt;",""))</f>
        <v/>
      </c>
      <c r="H80" s="10" cm="1" t="str">
        <f t="array" ref="H80">IF(G80="","",SUBSTITUTE(SUBSTITUTE(SUBSTITUTE(SUBSTITUTE(SUBSTITUTE(G80,"&lt;p&gt;",""),"&lt;/p&gt;",""),"&lt;ul&gt;",""),"&lt;/ul&gt;",""),"&lt;/strong&gt;",""))</f>
        <v/>
      </c>
      <c r="I80" s="11" cm="1" t="str">
        <f t="array" ref="I80">IF(C80="","",IF(OR(H80="",H80=0,H80=FALSE),"-",H80))</f>
        <v/>
      </c>
      <c r="J80" s="5">
</c>
      <c r="K80" s="6">
</c>
      <c r="L80" s="6" cm="1" t="str">
        <f t="array" ref="L80">IF(C80="","",IF(K80="Mort / Plus rien à faire","KO","OK"))</f>
        <v/>
      </c>
      <c r="M80" s="12">
</c>
      <c r="N80" s="12" cm="1" t="str">
        <f t="array" ref="N80">IF(OR(C80="",M80="",M80=0),"",M80)</f>
        <v/>
      </c>
      <c r="O80" s="12">
</c>
      <c r="P80" s="12" cm="1" t="str">
        <f t="array" ref="P80">IF(C80="","",IF(OR(O80="",O80=0),"-",O80))</f>
        <v/>
      </c>
      <c r="Q80" s="13">
</c>
      <c r="R80" s="9" cm="1" t="str">
        <f t="array" ref="R80">IF(C80="","",ROUND(Q80/1000000,3)&amp;" M€")</f>
        <v/>
      </c>
      <c r="S80" s="9">
</c>
      <c r="T80" s="9" cm="1" t="str">
        <f t="array" ref="T80">IF(C80="","",SUBSTITUTE(S80,"","")&amp;"%")</f>
        <v/>
      </c>
      <c r="U80" s="11" cm="1" t="str">
        <f t="array" ref="U80">IF(($N80="")*($P80=""),"",IF(($N80&lt;&gt;"")*($N80&gt;TODAY()-9)*($N80&lt;TODAY()+1)*($P80&lt;&gt;"")*($P80&gt;=TODAY())*($P80&lt;=TODAY()+13),"Semaine passée &amp; à venir",IF(($N80&lt;&gt;"")*($N80&gt;TODAY()-9)*($N80&lt;TODAY()+1),"Semaine passée",IF(($P80&lt;&gt;"")*($P80&gt;=TODAY())*($P80&lt;=TODAY()+13),"À venir","Autre"))))</f>
        <v/>
      </c>
      <c r="V80" s="5" cm="1" t="n">
        <f t="array" ref="V80">IF(C80&lt;&gt;"",1,0)</f>
        <v>0</v>
      </c>
      <c r="W80" s="5">
</c>
      <c r="X80" s="5">
</c>
      <c r="Y80" s="5">
</c>
      <c r="Z80" s="5">
</c>
      <c r="AA80" s="5">
</c>
      <c r="AB80" s="5">
</c>
      <c r="AC80" s="5">
</c>
      <c r="AD80" s="5">
</c>
      <c r="AE80" s="5">
</c>
      <c r="AF80" s="5">
</c>
      <c r="AG80" s="5">
</c>
      <c r="AH80" s="5">
</c>
      <c r="AI80" s="5">
</c>
      <c r="AJ80" s="5">
</c>
    </row>
    <row r="81" ht="81" customHeight="1">
      <c r="A81" s="6">
</c>
      <c r="B81" s="6">
</c>
      <c r="C81" s="9">
</c>
      <c r="D81" s="9">
</c>
      <c r="E81" s="6">
</c>
      <c r="F81" s="5">
</c>
      <c r="G81" s="10" cm="1" t="str">
        <f t="array" ref="G81">IF(F81="","",SUBSTITUTE(SUBSTITUTE(SUBSTITUTE(SUBSTITUTE(F81,"&lt;li&gt;",CHAR(10)),"&lt;/li&gt;",""),"&lt;br&gt;",CHAR(10)),"&lt;strong&gt;",""))</f>
        <v/>
      </c>
      <c r="H81" s="10" cm="1" t="str">
        <f t="array" ref="H81">IF(G81="","",SUBSTITUTE(SUBSTITUTE(SUBSTITUTE(SUBSTITUTE(SUBSTITUTE(G81,"&lt;p&gt;",""),"&lt;/p&gt;",""),"&lt;ul&gt;",""),"&lt;/ul&gt;",""),"&lt;/strong&gt;",""))</f>
        <v/>
      </c>
      <c r="I81" s="11" cm="1" t="str">
        <f t="array" ref="I81">IF(C81="","",IF(OR(H81="",H81=0,H81=FALSE),"-",H81))</f>
        <v/>
      </c>
      <c r="J81" s="5">
</c>
      <c r="K81" s="6">
</c>
      <c r="L81" s="6" cm="1" t="str">
        <f t="array" ref="L81">IF(C81="","",IF(K81="Mort / Plus rien à faire","KO","OK"))</f>
        <v/>
      </c>
      <c r="M81" s="12">
</c>
      <c r="N81" s="12" cm="1" t="str">
        <f t="array" ref="N81">IF(OR(C81="",M81="",M81=0),"",M81)</f>
        <v/>
      </c>
      <c r="O81" s="12">
</c>
      <c r="P81" s="12" cm="1" t="str">
        <f t="array" ref="P81">IF(C81="","",IF(OR(O81="",O81=0),"-",O81))</f>
        <v/>
      </c>
      <c r="Q81" s="13">
</c>
      <c r="R81" s="9" cm="1" t="str">
        <f t="array" ref="R81">IF(C81="","",ROUND(Q81/1000000,3)&amp;" M€")</f>
        <v/>
      </c>
      <c r="S81" s="9">
</c>
      <c r="T81" s="9" cm="1" t="str">
        <f t="array" ref="T81">IF(C81="","",SUBSTITUTE(S81,"","")&amp;"%")</f>
        <v/>
      </c>
      <c r="U81" s="11" cm="1" t="str">
        <f t="array" ref="U81">IF(($N81="")*($P81=""),"",IF(($N81&lt;&gt;"")*($N81&gt;TODAY()-9)*($N81&lt;TODAY()+1)*($P81&lt;&gt;"")*($P81&gt;=TODAY())*($P81&lt;=TODAY()+13),"Semaine passée &amp; à venir",IF(($N81&lt;&gt;"")*($N81&gt;TODAY()-9)*($N81&lt;TODAY()+1),"Semaine passée",IF(($P81&lt;&gt;"")*($P81&gt;=TODAY())*($P81&lt;=TODAY()+13),"À venir","Autre"))))</f>
        <v/>
      </c>
      <c r="V81" s="5" cm="1" t="n">
        <f t="array" ref="V81">IF(C81&lt;&gt;"",1,0)</f>
        <v>0</v>
      </c>
      <c r="W81" s="5">
</c>
      <c r="X81" s="5">
</c>
      <c r="Y81" s="5">
</c>
      <c r="Z81" s="5">
</c>
      <c r="AA81" s="5">
</c>
      <c r="AB81" s="5">
</c>
      <c r="AC81" s="5">
</c>
      <c r="AD81" s="5">
</c>
      <c r="AE81" s="5">
</c>
      <c r="AF81" s="5">
</c>
      <c r="AG81" s="5">
</c>
      <c r="AH81" s="5">
</c>
      <c r="AI81" s="5">
</c>
      <c r="AJ81" s="5">
</c>
    </row>
    <row r="82" ht="81" customHeight="1">
      <c r="A82" s="6">
</c>
      <c r="B82" s="6">
</c>
      <c r="C82" s="9">
</c>
      <c r="D82" s="9">
</c>
      <c r="E82" s="6">
</c>
      <c r="F82" s="5">
</c>
      <c r="G82" s="10" cm="1" t="str">
        <f t="array" ref="G82">IF(F82="","",SUBSTITUTE(SUBSTITUTE(SUBSTITUTE(SUBSTITUTE(F82,"&lt;li&gt;",CHAR(10)),"&lt;/li&gt;",""),"&lt;br&gt;",CHAR(10)),"&lt;strong&gt;",""))</f>
        <v/>
      </c>
      <c r="H82" s="10" cm="1" t="str">
        <f t="array" ref="H82">IF(G82="","",SUBSTITUTE(SUBSTITUTE(SUBSTITUTE(SUBSTITUTE(SUBSTITUTE(G82,"&lt;p&gt;",""),"&lt;/p&gt;",""),"&lt;ul&gt;",""),"&lt;/ul&gt;",""),"&lt;/strong&gt;",""))</f>
        <v/>
      </c>
      <c r="I82" s="11" cm="1" t="str">
        <f t="array" ref="I82">IF(C82="","",IF(OR(H82="",H82=0,H82=FALSE),"-",H82))</f>
        <v/>
      </c>
      <c r="J82" s="5">
</c>
      <c r="K82" s="6">
</c>
      <c r="L82" s="6" cm="1" t="str">
        <f t="array" ref="L82">IF(C82="","",IF(K82="Mort / Plus rien à faire","KO","OK"))</f>
        <v/>
      </c>
      <c r="M82" s="12">
</c>
      <c r="N82" s="12" cm="1" t="str">
        <f t="array" ref="N82">IF(OR(C82="",M82="",M82=0),"",M82)</f>
        <v/>
      </c>
      <c r="O82" s="12">
</c>
      <c r="P82" s="12" cm="1" t="str">
        <f t="array" ref="P82">IF(C82="","",IF(OR(O82="",O82=0),"-",O82))</f>
        <v/>
      </c>
      <c r="Q82" s="13">
</c>
      <c r="R82" s="9" cm="1" t="str">
        <f t="array" ref="R82">IF(C82="","",ROUND(Q82/1000000,3)&amp;" M€")</f>
        <v/>
      </c>
      <c r="S82" s="9">
</c>
      <c r="T82" s="9" cm="1" t="str">
        <f t="array" ref="T82">IF(C82="","",SUBSTITUTE(S82,"","")&amp;"%")</f>
        <v/>
      </c>
      <c r="U82" s="11" cm="1" t="str">
        <f t="array" ref="U82">IF(($N82="")*($P82=""),"",IF(($N82&lt;&gt;"")*($N82&gt;TODAY()-9)*($N82&lt;TODAY()+1)*($P82&lt;&gt;"")*($P82&gt;=TODAY())*($P82&lt;=TODAY()+13),"Semaine passée &amp; à venir",IF(($N82&lt;&gt;"")*($N82&gt;TODAY()-9)*($N82&lt;TODAY()+1),"Semaine passée",IF(($P82&lt;&gt;"")*($P82&gt;=TODAY())*($P82&lt;=TODAY()+13),"À venir","Autre"))))</f>
        <v/>
      </c>
      <c r="V82" s="5" cm="1" t="n">
        <f t="array" ref="V82">IF(C82&lt;&gt;"",1,0)</f>
        <v>0</v>
      </c>
      <c r="W82" s="5">
</c>
      <c r="X82" s="5">
</c>
      <c r="Y82" s="5">
</c>
      <c r="Z82" s="5">
</c>
      <c r="AA82" s="5">
</c>
      <c r="AB82" s="5">
</c>
      <c r="AC82" s="5">
</c>
      <c r="AD82" s="5">
</c>
      <c r="AE82" s="5">
</c>
      <c r="AF82" s="5">
</c>
      <c r="AG82" s="5">
</c>
      <c r="AH82" s="5">
</c>
      <c r="AI82" s="5">
</c>
      <c r="AJ82" s="5">
</c>
    </row>
    <row r="83" ht="81" customHeight="1">
      <c r="A83" s="6">
</c>
      <c r="B83" s="6">
</c>
      <c r="C83" s="9">
</c>
      <c r="D83" s="9">
</c>
      <c r="E83" s="6">
</c>
      <c r="F83" s="5">
</c>
      <c r="G83" s="10" cm="1" t="str">
        <f t="array" ref="G83">IF(F83="","",SUBSTITUTE(SUBSTITUTE(SUBSTITUTE(SUBSTITUTE(F83,"&lt;li&gt;",CHAR(10)),"&lt;/li&gt;",""),"&lt;br&gt;",CHAR(10)),"&lt;strong&gt;",""))</f>
        <v/>
      </c>
      <c r="H83" s="10" cm="1" t="str">
        <f t="array" ref="H83">IF(G83="","",SUBSTITUTE(SUBSTITUTE(SUBSTITUTE(SUBSTITUTE(SUBSTITUTE(G83,"&lt;p&gt;",""),"&lt;/p&gt;",""),"&lt;ul&gt;",""),"&lt;/ul&gt;",""),"&lt;/strong&gt;",""))</f>
        <v/>
      </c>
      <c r="I83" s="11" cm="1" t="str">
        <f t="array" ref="I83">IF(C83="","",IF(OR(H83="",H83=0,H83=FALSE),"-",H83))</f>
        <v/>
      </c>
      <c r="J83" s="5">
</c>
      <c r="K83" s="6">
</c>
      <c r="L83" s="6" cm="1" t="str">
        <f t="array" ref="L83">IF(C83="","",IF(K83="Mort / Plus rien à faire","KO","OK"))</f>
        <v/>
      </c>
      <c r="M83" s="12">
</c>
      <c r="N83" s="12" cm="1" t="str">
        <f t="array" ref="N83">IF(OR(C83="",M83="",M83=0),"",M83)</f>
        <v/>
      </c>
      <c r="O83" s="12">
</c>
      <c r="P83" s="12" cm="1" t="str">
        <f t="array" ref="P83">IF(C83="","",IF(OR(O83="",O83=0),"-",O83))</f>
        <v/>
      </c>
      <c r="Q83" s="13">
</c>
      <c r="R83" s="9" cm="1" t="str">
        <f t="array" ref="R83">IF(C83="","",ROUND(Q83/1000000,3)&amp;" M€")</f>
        <v/>
      </c>
      <c r="S83" s="9">
</c>
      <c r="T83" s="9" cm="1" t="str">
        <f t="array" ref="T83">IF(C83="","",SUBSTITUTE(S83,"","")&amp;"%")</f>
        <v/>
      </c>
      <c r="U83" s="11" cm="1" t="str">
        <f t="array" ref="U83">IF(($N83="")*($P83=""),"",IF(($N83&lt;&gt;"")*($N83&gt;TODAY()-9)*($N83&lt;TODAY()+1)*($P83&lt;&gt;"")*($P83&gt;=TODAY())*($P83&lt;=TODAY()+13),"Semaine passée &amp; à venir",IF(($N83&lt;&gt;"")*($N83&gt;TODAY()-9)*($N83&lt;TODAY()+1),"Semaine passée",IF(($P83&lt;&gt;"")*($P83&gt;=TODAY())*($P83&lt;=TODAY()+13),"À venir","Autre"))))</f>
        <v/>
      </c>
      <c r="V83" s="5" cm="1" t="n">
        <f t="array" ref="V83">IF(C83&lt;&gt;"",1,0)</f>
        <v>0</v>
      </c>
      <c r="W83" s="5">
</c>
      <c r="X83" s="5">
</c>
      <c r="Y83" s="5">
</c>
      <c r="Z83" s="5">
</c>
      <c r="AA83" s="5">
</c>
      <c r="AB83" s="5">
</c>
      <c r="AC83" s="5">
</c>
      <c r="AD83" s="5">
</c>
      <c r="AE83" s="5">
</c>
      <c r="AF83" s="5">
</c>
      <c r="AG83" s="5">
</c>
      <c r="AH83" s="5">
</c>
      <c r="AI83" s="5">
</c>
      <c r="AJ83" s="5">
</c>
    </row>
    <row r="84" ht="81" customHeight="1">
      <c r="A84" s="6">
</c>
      <c r="B84" s="6">
</c>
      <c r="C84" s="9">
</c>
      <c r="D84" s="9">
</c>
      <c r="E84" s="6">
</c>
      <c r="F84" s="5">
</c>
      <c r="G84" s="10" cm="1" t="str">
        <f t="array" ref="G84">IF(F84="","",SUBSTITUTE(SUBSTITUTE(SUBSTITUTE(SUBSTITUTE(F84,"&lt;li&gt;",CHAR(10)),"&lt;/li&gt;",""),"&lt;br&gt;",CHAR(10)),"&lt;strong&gt;",""))</f>
        <v/>
      </c>
      <c r="H84" s="10" cm="1" t="str">
        <f t="array" ref="H84">IF(G84="","",SUBSTITUTE(SUBSTITUTE(SUBSTITUTE(SUBSTITUTE(SUBSTITUTE(G84,"&lt;p&gt;",""),"&lt;/p&gt;",""),"&lt;ul&gt;",""),"&lt;/ul&gt;",""),"&lt;/strong&gt;",""))</f>
        <v/>
      </c>
      <c r="I84" s="11" cm="1" t="str">
        <f t="array" ref="I84">IF(C84="","",IF(OR(H84="",H84=0,H84=FALSE),"-",H84))</f>
        <v/>
      </c>
      <c r="J84" s="5">
</c>
      <c r="K84" s="6">
</c>
      <c r="L84" s="6" cm="1" t="str">
        <f t="array" ref="L84">IF(C84="","",IF(K84="Mort / Plus rien à faire","KO","OK"))</f>
        <v/>
      </c>
      <c r="M84" s="12">
</c>
      <c r="N84" s="12" cm="1" t="str">
        <f t="array" ref="N84">IF(OR(C84="",M84="",M84=0),"",M84)</f>
        <v/>
      </c>
      <c r="O84" s="12">
</c>
      <c r="P84" s="12" cm="1" t="str">
        <f t="array" ref="P84">IF(C84="","",IF(OR(O84="",O84=0),"-",O84))</f>
        <v/>
      </c>
      <c r="Q84" s="13">
</c>
      <c r="R84" s="9" cm="1" t="str">
        <f t="array" ref="R84">IF(C84="","",ROUND(Q84/1000000,3)&amp;" M€")</f>
        <v/>
      </c>
      <c r="S84" s="9">
</c>
      <c r="T84" s="9" cm="1" t="str">
        <f t="array" ref="T84">IF(C84="","",SUBSTITUTE(S84,"","")&amp;"%")</f>
        <v/>
      </c>
      <c r="U84" s="11" cm="1" t="str">
        <f t="array" ref="U84">IF(($N84="")*($P84=""),"",IF(($N84&lt;&gt;"")*($N84&gt;TODAY()-9)*($N84&lt;TODAY()+1)*($P84&lt;&gt;"")*($P84&gt;=TODAY())*($P84&lt;=TODAY()+13),"Semaine passée &amp; à venir",IF(($N84&lt;&gt;"")*($N84&gt;TODAY()-9)*($N84&lt;TODAY()+1),"Semaine passée",IF(($P84&lt;&gt;"")*($P84&gt;=TODAY())*($P84&lt;=TODAY()+13),"À venir","Autre"))))</f>
        <v/>
      </c>
      <c r="V84" s="5" cm="1" t="n">
        <f t="array" ref="V84">IF(C84&lt;&gt;"",1,0)</f>
        <v>0</v>
      </c>
      <c r="W84" s="5">
</c>
      <c r="X84" s="5">
</c>
      <c r="Y84" s="5">
</c>
      <c r="Z84" s="5">
</c>
      <c r="AA84" s="5">
</c>
      <c r="AB84" s="5">
</c>
      <c r="AC84" s="5">
</c>
      <c r="AD84" s="5">
</c>
      <c r="AE84" s="5">
</c>
      <c r="AF84" s="5">
</c>
      <c r="AG84" s="5">
</c>
      <c r="AH84" s="5">
</c>
      <c r="AI84" s="5">
</c>
      <c r="AJ84" s="5">
</c>
    </row>
    <row r="85" ht="81" customHeight="1">
      <c r="A85" s="6">
</c>
      <c r="B85" s="6">
</c>
      <c r="C85" s="9">
</c>
      <c r="D85" s="9">
</c>
      <c r="E85" s="6">
</c>
      <c r="F85" s="5">
</c>
      <c r="G85" s="10" cm="1" t="str">
        <f t="array" ref="G85">IF(F85="","",SUBSTITUTE(SUBSTITUTE(SUBSTITUTE(SUBSTITUTE(F85,"&lt;li&gt;",CHAR(10)),"&lt;/li&gt;",""),"&lt;br&gt;",CHAR(10)),"&lt;strong&gt;",""))</f>
        <v/>
      </c>
      <c r="H85" s="10" cm="1" t="str">
        <f t="array" ref="H85">IF(G85="","",SUBSTITUTE(SUBSTITUTE(SUBSTITUTE(SUBSTITUTE(SUBSTITUTE(G85,"&lt;p&gt;",""),"&lt;/p&gt;",""),"&lt;ul&gt;",""),"&lt;/ul&gt;",""),"&lt;/strong&gt;",""))</f>
        <v/>
      </c>
      <c r="I85" s="11" cm="1" t="str">
        <f t="array" ref="I85">IF(C85="","",IF(OR(H85="",H85=0,H85=FALSE),"-",H85))</f>
        <v/>
      </c>
      <c r="J85" s="5">
</c>
      <c r="K85" s="6">
</c>
      <c r="L85" s="6" cm="1" t="str">
        <f t="array" ref="L85">IF(C85="","",IF(K85="Mort / Plus rien à faire","KO","OK"))</f>
        <v/>
      </c>
      <c r="M85" s="12">
</c>
      <c r="N85" s="12" cm="1" t="str">
        <f t="array" ref="N85">IF(OR(C85="",M85="",M85=0),"",M85)</f>
        <v/>
      </c>
      <c r="O85" s="12">
</c>
      <c r="P85" s="12" cm="1" t="str">
        <f t="array" ref="P85">IF(C85="","",IF(OR(O85="",O85=0),"-",O85))</f>
        <v/>
      </c>
      <c r="Q85" s="13">
</c>
      <c r="R85" s="9" cm="1" t="str">
        <f t="array" ref="R85">IF(C85="","",ROUND(Q85/1000000,3)&amp;" M€")</f>
        <v/>
      </c>
      <c r="S85" s="9">
</c>
      <c r="T85" s="9" cm="1" t="str">
        <f t="array" ref="T85">IF(C85="","",SUBSTITUTE(S85,"","")&amp;"%")</f>
        <v/>
      </c>
      <c r="U85" s="11" cm="1" t="str">
        <f t="array" ref="U85">IF(($N85="")*($P85=""),"",IF(($N85&lt;&gt;"")*($N85&gt;TODAY()-9)*($N85&lt;TODAY()+1)*($P85&lt;&gt;"")*($P85&gt;=TODAY())*($P85&lt;=TODAY()+13),"Semaine passée &amp; à venir",IF(($N85&lt;&gt;"")*($N85&gt;TODAY()-9)*($N85&lt;TODAY()+1),"Semaine passée",IF(($P85&lt;&gt;"")*($P85&gt;=TODAY())*($P85&lt;=TODAY()+13),"À venir","Autre"))))</f>
        <v/>
      </c>
      <c r="V85" s="5" cm="1" t="n">
        <f t="array" ref="V85">IF(C85&lt;&gt;"",1,0)</f>
        <v>0</v>
      </c>
      <c r="W85" s="5">
</c>
      <c r="X85" s="5">
</c>
      <c r="Y85" s="5">
</c>
      <c r="Z85" s="5">
</c>
      <c r="AA85" s="5">
</c>
      <c r="AB85" s="5">
</c>
      <c r="AC85" s="5">
</c>
      <c r="AD85" s="5">
</c>
      <c r="AE85" s="5">
</c>
      <c r="AF85" s="5">
</c>
      <c r="AG85" s="5">
</c>
      <c r="AH85" s="5">
</c>
      <c r="AI85" s="5">
</c>
      <c r="AJ85" s="5">
</c>
    </row>
    <row r="86" ht="81" customHeight="1">
      <c r="A86" s="6">
</c>
      <c r="B86" s="6">
</c>
      <c r="C86" s="9">
</c>
      <c r="D86" s="9">
</c>
      <c r="E86" s="6">
</c>
      <c r="F86" s="5">
</c>
      <c r="G86" s="10" cm="1" t="str">
        <f t="array" ref="G86">IF(F86="","",SUBSTITUTE(SUBSTITUTE(SUBSTITUTE(SUBSTITUTE(F86,"&lt;li&gt;",CHAR(10)),"&lt;/li&gt;",""),"&lt;br&gt;",CHAR(10)),"&lt;strong&gt;",""))</f>
        <v/>
      </c>
      <c r="H86" s="10" cm="1" t="str">
        <f t="array" ref="H86">IF(G86="","",SUBSTITUTE(SUBSTITUTE(SUBSTITUTE(SUBSTITUTE(SUBSTITUTE(G86,"&lt;p&gt;",""),"&lt;/p&gt;",""),"&lt;ul&gt;",""),"&lt;/ul&gt;",""),"&lt;/strong&gt;",""))</f>
        <v/>
      </c>
      <c r="I86" s="11" cm="1" t="str">
        <f t="array" ref="I86">IF(C86="","",IF(OR(H86="",H86=0,H86=FALSE),"-",H86))</f>
        <v/>
      </c>
      <c r="J86" s="5">
</c>
      <c r="K86" s="6">
</c>
      <c r="L86" s="6" cm="1" t="str">
        <f t="array" ref="L86">IF(C86="","",IF(K86="Mort / Plus rien à faire","KO","OK"))</f>
        <v/>
      </c>
      <c r="M86" s="12">
</c>
      <c r="N86" s="12" cm="1" t="str">
        <f t="array" ref="N86">IF(OR(C86="",M86="",M86=0),"",M86)</f>
        <v/>
      </c>
      <c r="O86" s="12">
</c>
      <c r="P86" s="12" cm="1" t="str">
        <f t="array" ref="P86">IF(C86="","",IF(OR(O86="",O86=0),"-",O86))</f>
        <v/>
      </c>
      <c r="Q86" s="13">
</c>
      <c r="R86" s="9" cm="1" t="str">
        <f t="array" ref="R86">IF(C86="","",ROUND(Q86/1000000,3)&amp;" M€")</f>
        <v/>
      </c>
      <c r="S86" s="9">
</c>
      <c r="T86" s="9" cm="1" t="str">
        <f t="array" ref="T86">IF(C86="","",SUBSTITUTE(S86,"","")&amp;"%")</f>
        <v/>
      </c>
      <c r="U86" s="11" cm="1" t="str">
        <f t="array" ref="U86">IF(($N86="")*($P86=""),"",IF(($N86&lt;&gt;"")*($N86&gt;TODAY()-9)*($N86&lt;TODAY()+1)*($P86&lt;&gt;"")*($P86&gt;=TODAY())*($P86&lt;=TODAY()+13),"Semaine passée &amp; à venir",IF(($N86&lt;&gt;"")*($N86&gt;TODAY()-9)*($N86&lt;TODAY()+1),"Semaine passée",IF(($P86&lt;&gt;"")*($P86&gt;=TODAY())*($P86&lt;=TODAY()+13),"À venir","Autre"))))</f>
        <v/>
      </c>
      <c r="V86" s="5" cm="1" t="n">
        <f t="array" ref="V86">IF(C86&lt;&gt;"",1,0)</f>
        <v>0</v>
      </c>
      <c r="W86" s="5">
</c>
      <c r="X86" s="5">
</c>
      <c r="Y86" s="5">
</c>
      <c r="Z86" s="5">
</c>
      <c r="AA86" s="5">
</c>
      <c r="AB86" s="5">
</c>
      <c r="AC86" s="5">
</c>
      <c r="AD86" s="5">
</c>
      <c r="AE86" s="5">
</c>
      <c r="AF86" s="5">
</c>
      <c r="AG86" s="5">
</c>
      <c r="AH86" s="5">
</c>
      <c r="AI86" s="5">
</c>
      <c r="AJ86" s="5">
</c>
    </row>
    <row r="87" ht="81" customHeight="1">
      <c r="A87" s="6">
</c>
      <c r="B87" s="6">
</c>
      <c r="C87" s="9">
</c>
      <c r="D87" s="9">
</c>
      <c r="E87" s="6">
</c>
      <c r="F87" s="5">
</c>
      <c r="G87" s="10" cm="1" t="str">
        <f t="array" ref="G87">IF(F87="","",SUBSTITUTE(SUBSTITUTE(SUBSTITUTE(SUBSTITUTE(F87,"&lt;li&gt;",CHAR(10)),"&lt;/li&gt;",""),"&lt;br&gt;",CHAR(10)),"&lt;strong&gt;",""))</f>
        <v/>
      </c>
      <c r="H87" s="10" cm="1" t="str">
        <f t="array" ref="H87">IF(G87="","",SUBSTITUTE(SUBSTITUTE(SUBSTITUTE(SUBSTITUTE(SUBSTITUTE(G87,"&lt;p&gt;",""),"&lt;/p&gt;",""),"&lt;ul&gt;",""),"&lt;/ul&gt;",""),"&lt;/strong&gt;",""))</f>
        <v/>
      </c>
      <c r="I87" s="11" cm="1" t="str">
        <f t="array" ref="I87">IF(C87="","",IF(OR(H87="",H87=0,H87=FALSE),"-",H87))</f>
        <v/>
      </c>
      <c r="J87" s="5">
</c>
      <c r="K87" s="6">
</c>
      <c r="L87" s="6" cm="1" t="str">
        <f t="array" ref="L87">IF(C87="","",IF(K87="Mort / Plus rien à faire","KO","OK"))</f>
        <v/>
      </c>
      <c r="M87" s="12">
</c>
      <c r="N87" s="12" cm="1" t="str">
        <f t="array" ref="N87">IF(OR(C87="",M87="",M87=0),"",M87)</f>
        <v/>
      </c>
      <c r="O87" s="12">
</c>
      <c r="P87" s="12" cm="1" t="str">
        <f t="array" ref="P87">IF(C87="","",IF(OR(O87="",O87=0),"-",O87))</f>
        <v/>
      </c>
      <c r="Q87" s="13">
</c>
      <c r="R87" s="9" cm="1" t="str">
        <f t="array" ref="R87">IF(C87="","",ROUND(Q87/1000000,3)&amp;" M€")</f>
        <v/>
      </c>
      <c r="S87" s="9">
</c>
      <c r="T87" s="9" cm="1" t="str">
        <f t="array" ref="T87">IF(C87="","",SUBSTITUTE(S87,"","")&amp;"%")</f>
        <v/>
      </c>
      <c r="U87" s="11" cm="1" t="str">
        <f t="array" ref="U87">IF(($N87="")*($P87=""),"",IF(($N87&lt;&gt;"")*($N87&gt;TODAY()-9)*($N87&lt;TODAY()+1)*($P87&lt;&gt;"")*($P87&gt;=TODAY())*($P87&lt;=TODAY()+13),"Semaine passée &amp; à venir",IF(($N87&lt;&gt;"")*($N87&gt;TODAY()-9)*($N87&lt;TODAY()+1),"Semaine passée",IF(($P87&lt;&gt;"")*($P87&gt;=TODAY())*($P87&lt;=TODAY()+13),"À venir","Autre"))))</f>
        <v/>
      </c>
      <c r="V87" s="5" cm="1" t="n">
        <f t="array" ref="V87">IF(C87&lt;&gt;"",1,0)</f>
        <v>0</v>
      </c>
      <c r="W87" s="5">
</c>
      <c r="X87" s="5">
</c>
      <c r="Y87" s="5">
</c>
      <c r="Z87" s="5">
</c>
      <c r="AA87" s="5">
</c>
      <c r="AB87" s="5">
</c>
      <c r="AC87" s="5">
</c>
      <c r="AD87" s="5">
</c>
      <c r="AE87" s="5">
</c>
      <c r="AF87" s="5">
</c>
      <c r="AG87" s="5">
</c>
      <c r="AH87" s="5">
</c>
      <c r="AI87" s="5">
</c>
      <c r="AJ87" s="5">
</c>
    </row>
    <row r="88" ht="81" customHeight="1">
      <c r="A88" s="6">
</c>
      <c r="B88" s="6">
</c>
      <c r="C88" s="9">
</c>
      <c r="D88" s="9">
</c>
      <c r="E88" s="6">
</c>
      <c r="F88" s="5">
</c>
      <c r="G88" s="10" cm="1" t="str">
        <f t="array" ref="G88">IF(F88="","",SUBSTITUTE(SUBSTITUTE(SUBSTITUTE(SUBSTITUTE(F88,"&lt;li&gt;",CHAR(10)),"&lt;/li&gt;",""),"&lt;br&gt;",CHAR(10)),"&lt;strong&gt;",""))</f>
        <v/>
      </c>
      <c r="H88" s="10" cm="1" t="str">
        <f t="array" ref="H88">IF(G88="","",SUBSTITUTE(SUBSTITUTE(SUBSTITUTE(SUBSTITUTE(SUBSTITUTE(G88,"&lt;p&gt;",""),"&lt;/p&gt;",""),"&lt;ul&gt;",""),"&lt;/ul&gt;",""),"&lt;/strong&gt;",""))</f>
        <v/>
      </c>
      <c r="I88" s="11" cm="1" t="str">
        <f t="array" ref="I88">IF(C88="","",IF(OR(H88="",H88=0,H88=FALSE),"-",H88))</f>
        <v/>
      </c>
      <c r="J88" s="5">
</c>
      <c r="K88" s="6">
</c>
      <c r="L88" s="6" cm="1" t="str">
        <f t="array" ref="L88">IF(C88="","",IF(K88="Mort / Plus rien à faire","KO","OK"))</f>
        <v/>
      </c>
      <c r="M88" s="12">
</c>
      <c r="N88" s="12" cm="1" t="str">
        <f t="array" ref="N88">IF(OR(C88="",M88="",M88=0),"",M88)</f>
        <v/>
      </c>
      <c r="O88" s="12">
</c>
      <c r="P88" s="12" cm="1" t="str">
        <f t="array" ref="P88">IF(C88="","",IF(OR(O88="",O88=0),"-",O88))</f>
        <v/>
      </c>
      <c r="Q88" s="13">
</c>
      <c r="R88" s="9" cm="1" t="str">
        <f t="array" ref="R88">IF(C88="","",ROUND(Q88/1000000,3)&amp;" M€")</f>
        <v/>
      </c>
      <c r="S88" s="9">
</c>
      <c r="T88" s="9" cm="1" t="str">
        <f t="array" ref="T88">IF(C88="","",SUBSTITUTE(S88,"","")&amp;"%")</f>
        <v/>
      </c>
      <c r="U88" s="11" cm="1" t="str">
        <f t="array" ref="U88">IF(($N88="")*($P88=""),"",IF(($N88&lt;&gt;"")*($N88&gt;TODAY()-9)*($N88&lt;TODAY()+1)*($P88&lt;&gt;"")*($P88&gt;=TODAY())*($P88&lt;=TODAY()+13),"Semaine passée &amp; à venir",IF(($N88&lt;&gt;"")*($N88&gt;TODAY()-9)*($N88&lt;TODAY()+1),"Semaine passée",IF(($P88&lt;&gt;"")*($P88&gt;=TODAY())*($P88&lt;=TODAY()+13),"À venir","Autre"))))</f>
        <v/>
      </c>
      <c r="V88" s="5" cm="1" t="n">
        <f t="array" ref="V88">IF(C88&lt;&gt;"",1,0)</f>
        <v>0</v>
      </c>
      <c r="W88" s="5">
</c>
      <c r="X88" s="5">
</c>
      <c r="Y88" s="5">
</c>
      <c r="Z88" s="5">
</c>
      <c r="AA88" s="5">
</c>
      <c r="AB88" s="5">
</c>
      <c r="AC88" s="5">
</c>
      <c r="AD88" s="5">
</c>
      <c r="AE88" s="5">
</c>
      <c r="AF88" s="5">
</c>
      <c r="AG88" s="5">
</c>
      <c r="AH88" s="5">
</c>
      <c r="AI88" s="5">
</c>
      <c r="AJ88" s="5">
</c>
    </row>
    <row r="89" ht="81" customHeight="1">
      <c r="A89" s="6">
</c>
      <c r="B89" s="6">
</c>
      <c r="C89" s="9">
</c>
      <c r="D89" s="9">
</c>
      <c r="E89" s="6">
</c>
      <c r="F89" s="5">
</c>
      <c r="G89" s="10" cm="1" t="str">
        <f t="array" ref="G89">IF(F89="","",SUBSTITUTE(SUBSTITUTE(SUBSTITUTE(SUBSTITUTE(F89,"&lt;li&gt;",CHAR(10)),"&lt;/li&gt;",""),"&lt;br&gt;",CHAR(10)),"&lt;strong&gt;",""))</f>
        <v/>
      </c>
      <c r="H89" s="10" cm="1" t="str">
        <f t="array" ref="H89">IF(G89="","",SUBSTITUTE(SUBSTITUTE(SUBSTITUTE(SUBSTITUTE(SUBSTITUTE(G89,"&lt;p&gt;",""),"&lt;/p&gt;",""),"&lt;ul&gt;",""),"&lt;/ul&gt;",""),"&lt;/strong&gt;",""))</f>
        <v/>
      </c>
      <c r="I89" s="11" cm="1" t="str">
        <f t="array" ref="I89">IF(C89="","",IF(OR(H89="",H89=0,H89=FALSE),"-",H89))</f>
        <v/>
      </c>
      <c r="J89" s="5">
</c>
      <c r="K89" s="6">
</c>
      <c r="L89" s="6" cm="1" t="str">
        <f t="array" ref="L89">IF(C89="","",IF(K89="Mort / Plus rien à faire","KO","OK"))</f>
        <v/>
      </c>
      <c r="M89" s="12">
</c>
      <c r="N89" s="12" cm="1" t="str">
        <f t="array" ref="N89">IF(OR(C89="",M89="",M89=0),"",M89)</f>
        <v/>
      </c>
      <c r="O89" s="12">
</c>
      <c r="P89" s="12" cm="1" t="str">
        <f t="array" ref="P89">IF(C89="","",IF(OR(O89="",O89=0),"-",O89))</f>
        <v/>
      </c>
      <c r="Q89" s="13">
</c>
      <c r="R89" s="9" cm="1" t="str">
        <f t="array" ref="R89">IF(C89="","",ROUND(Q89/1000000,3)&amp;" M€")</f>
        <v/>
      </c>
      <c r="S89" s="9">
</c>
      <c r="T89" s="9" cm="1" t="str">
        <f t="array" ref="T89">IF(C89="","",SUBSTITUTE(S89,"","")&amp;"%")</f>
        <v/>
      </c>
      <c r="U89" s="11" cm="1" t="str">
        <f t="array" ref="U89">IF(($N89="")*($P89=""),"",IF(($N89&lt;&gt;"")*($N89&gt;TODAY()-9)*($N89&lt;TODAY()+1)*($P89&lt;&gt;"")*($P89&gt;=TODAY())*($P89&lt;=TODAY()+13),"Semaine passée &amp; à venir",IF(($N89&lt;&gt;"")*($N89&gt;TODAY()-9)*($N89&lt;TODAY()+1),"Semaine passée",IF(($P89&lt;&gt;"")*($P89&gt;=TODAY())*($P89&lt;=TODAY()+13),"À venir","Autre"))))</f>
        <v/>
      </c>
      <c r="V89" s="5" cm="1" t="n">
        <f t="array" ref="V89">IF(C89&lt;&gt;"",1,0)</f>
        <v>0</v>
      </c>
      <c r="W89" s="5">
</c>
      <c r="X89" s="5">
</c>
      <c r="Y89" s="5">
</c>
      <c r="Z89" s="5">
</c>
      <c r="AA89" s="5">
</c>
      <c r="AB89" s="5">
</c>
      <c r="AC89" s="5">
</c>
      <c r="AD89" s="5">
</c>
      <c r="AE89" s="5">
</c>
      <c r="AF89" s="5">
</c>
      <c r="AG89" s="5">
</c>
      <c r="AH89" s="5">
</c>
      <c r="AI89" s="5">
</c>
      <c r="AJ89" s="5">
</c>
    </row>
    <row r="90" ht="81" customHeight="1">
      <c r="A90" s="6">
</c>
      <c r="B90" s="6">
</c>
      <c r="C90" s="9">
</c>
      <c r="D90" s="9">
</c>
      <c r="E90" s="6">
</c>
      <c r="F90" s="5">
</c>
      <c r="G90" s="10" cm="1" t="str">
        <f t="array" ref="G90">IF(F90="","",SUBSTITUTE(SUBSTITUTE(SUBSTITUTE(SUBSTITUTE(F90,"&lt;li&gt;",CHAR(10)),"&lt;/li&gt;",""),"&lt;br&gt;",CHAR(10)),"&lt;strong&gt;",""))</f>
        <v/>
      </c>
      <c r="H90" s="10" cm="1" t="str">
        <f t="array" ref="H90">IF(G90="","",SUBSTITUTE(SUBSTITUTE(SUBSTITUTE(SUBSTITUTE(SUBSTITUTE(G90,"&lt;p&gt;",""),"&lt;/p&gt;",""),"&lt;ul&gt;",""),"&lt;/ul&gt;",""),"&lt;/strong&gt;",""))</f>
        <v/>
      </c>
      <c r="I90" s="11" cm="1" t="str">
        <f t="array" ref="I90">IF(C90="","",IF(OR(H90="",H90=0,H90=FALSE),"-",H90))</f>
        <v/>
      </c>
      <c r="J90" s="5">
</c>
      <c r="K90" s="6">
</c>
      <c r="L90" s="6" cm="1" t="str">
        <f t="array" ref="L90">IF(C90="","",IF(K90="Mort / Plus rien à faire","KO","OK"))</f>
        <v/>
      </c>
      <c r="M90" s="12">
</c>
      <c r="N90" s="12" cm="1" t="str">
        <f t="array" ref="N90">IF(OR(C90="",M90="",M90=0),"",M90)</f>
        <v/>
      </c>
      <c r="O90" s="12">
</c>
      <c r="P90" s="12" cm="1" t="str">
        <f t="array" ref="P90">IF(C90="","",IF(OR(O90="",O90=0),"-",O90))</f>
        <v/>
      </c>
      <c r="Q90" s="13">
</c>
      <c r="R90" s="9" cm="1" t="str">
        <f t="array" ref="R90">IF(C90="","",ROUND(Q90/1000000,3)&amp;" M€")</f>
        <v/>
      </c>
      <c r="S90" s="9">
</c>
      <c r="T90" s="9" cm="1" t="str">
        <f t="array" ref="T90">IF(C90="","",SUBSTITUTE(S90,"","")&amp;"%")</f>
        <v/>
      </c>
      <c r="U90" s="11" cm="1" t="str">
        <f t="array" ref="U90">IF(($N90="")*($P90=""),"",IF(($N90&lt;&gt;"")*($N90&gt;TODAY()-9)*($N90&lt;TODAY()+1)*($P90&lt;&gt;"")*($P90&gt;=TODAY())*($P90&lt;=TODAY()+13),"Semaine passée &amp; à venir",IF(($N90&lt;&gt;"")*($N90&gt;TODAY()-9)*($N90&lt;TODAY()+1),"Semaine passée",IF(($P90&lt;&gt;"")*($P90&gt;=TODAY())*($P90&lt;=TODAY()+13),"À venir","Autre"))))</f>
        <v/>
      </c>
      <c r="V90" s="5" cm="1" t="n">
        <f t="array" ref="V90">IF(C90&lt;&gt;"",1,0)</f>
        <v>0</v>
      </c>
      <c r="W90" s="5">
</c>
      <c r="X90" s="5">
</c>
      <c r="Y90" s="5">
</c>
      <c r="Z90" s="5">
</c>
      <c r="AA90" s="5">
</c>
      <c r="AB90" s="5">
</c>
      <c r="AC90" s="5">
</c>
      <c r="AD90" s="5">
</c>
      <c r="AE90" s="5">
</c>
      <c r="AF90" s="5">
</c>
      <c r="AG90" s="5">
</c>
      <c r="AH90" s="5">
</c>
      <c r="AI90" s="5">
</c>
      <c r="AJ90" s="5">
</c>
    </row>
    <row r="91" ht="81" customHeight="1">
      <c r="A91" s="6">
</c>
      <c r="B91" s="6">
</c>
      <c r="C91" s="9">
</c>
      <c r="D91" s="9">
</c>
      <c r="E91" s="6">
</c>
      <c r="F91" s="5">
</c>
      <c r="G91" s="10" cm="1" t="str">
        <f t="array" ref="G91">IF(F91="","",SUBSTITUTE(SUBSTITUTE(SUBSTITUTE(SUBSTITUTE(F91,"&lt;li&gt;",CHAR(10)),"&lt;/li&gt;",""),"&lt;br&gt;",CHAR(10)),"&lt;strong&gt;",""))</f>
        <v/>
      </c>
      <c r="H91" s="10" cm="1" t="str">
        <f t="array" ref="H91">IF(G91="","",SUBSTITUTE(SUBSTITUTE(SUBSTITUTE(SUBSTITUTE(SUBSTITUTE(G91,"&lt;p&gt;",""),"&lt;/p&gt;",""),"&lt;ul&gt;",""),"&lt;/ul&gt;",""),"&lt;/strong&gt;",""))</f>
        <v/>
      </c>
      <c r="I91" s="11" cm="1" t="str">
        <f t="array" ref="I91">IF(C91="","",IF(OR(H91="",H91=0,H91=FALSE),"-",H91))</f>
        <v/>
      </c>
      <c r="J91" s="5">
</c>
      <c r="K91" s="6">
</c>
      <c r="L91" s="6" cm="1" t="str">
        <f t="array" ref="L91">IF(C91="","",IF(K91="Mort / Plus rien à faire","KO","OK"))</f>
        <v/>
      </c>
      <c r="M91" s="12">
</c>
      <c r="N91" s="12" cm="1" t="str">
        <f t="array" ref="N91">IF(OR(C91="",M91="",M91=0),"",M91)</f>
        <v/>
      </c>
      <c r="O91" s="12">
</c>
      <c r="P91" s="12" cm="1" t="str">
        <f t="array" ref="P91">IF(C91="","",IF(OR(O91="",O91=0),"-",O91))</f>
        <v/>
      </c>
      <c r="Q91" s="13">
</c>
      <c r="R91" s="9" cm="1" t="str">
        <f t="array" ref="R91">IF(C91="","",ROUND(Q91/1000000,3)&amp;" M€")</f>
        <v/>
      </c>
      <c r="S91" s="9">
</c>
      <c r="T91" s="9" cm="1" t="str">
        <f t="array" ref="T91">IF(C91="","",SUBSTITUTE(S91,"","")&amp;"%")</f>
        <v/>
      </c>
      <c r="U91" s="11" cm="1" t="str">
        <f t="array" ref="U91">IF(($N91="")*($P91=""),"",IF(($N91&lt;&gt;"")*($N91&gt;TODAY()-9)*($N91&lt;TODAY()+1)*($P91&lt;&gt;"")*($P91&gt;=TODAY())*($P91&lt;=TODAY()+13),"Semaine passée &amp; à venir",IF(($N91&lt;&gt;"")*($N91&gt;TODAY()-9)*($N91&lt;TODAY()+1),"Semaine passée",IF(($P91&lt;&gt;"")*($P91&gt;=TODAY())*($P91&lt;=TODAY()+13),"À venir","Autre"))))</f>
        <v/>
      </c>
      <c r="V91" s="5" cm="1" t="n">
        <f t="array" ref="V91">IF(C91&lt;&gt;"",1,0)</f>
        <v>0</v>
      </c>
      <c r="W91" s="5">
</c>
      <c r="X91" s="5">
</c>
      <c r="Y91" s="5">
</c>
      <c r="Z91" s="5">
</c>
      <c r="AA91" s="5">
</c>
      <c r="AB91" s="5">
</c>
      <c r="AC91" s="5">
</c>
      <c r="AD91" s="5">
</c>
      <c r="AE91" s="5">
</c>
      <c r="AF91" s="5">
</c>
      <c r="AG91" s="5">
</c>
      <c r="AH91" s="5">
</c>
      <c r="AI91" s="5">
</c>
      <c r="AJ91" s="5">
</c>
    </row>
    <row r="92" ht="81" customHeight="1">
      <c r="A92" s="6">
</c>
      <c r="B92" s="6">
</c>
      <c r="C92" s="9">
</c>
      <c r="D92" s="9">
</c>
      <c r="E92" s="6">
</c>
      <c r="F92" s="5">
</c>
      <c r="G92" s="10" cm="1" t="str">
        <f t="array" ref="G92">IF(F92="","",SUBSTITUTE(SUBSTITUTE(SUBSTITUTE(SUBSTITUTE(F92,"&lt;li&gt;",CHAR(10)),"&lt;/li&gt;",""),"&lt;br&gt;",CHAR(10)),"&lt;strong&gt;",""))</f>
        <v/>
      </c>
      <c r="H92" s="10" cm="1" t="str">
        <f t="array" ref="H92">IF(G92="","",SUBSTITUTE(SUBSTITUTE(SUBSTITUTE(SUBSTITUTE(SUBSTITUTE(G92,"&lt;p&gt;",""),"&lt;/p&gt;",""),"&lt;ul&gt;",""),"&lt;/ul&gt;",""),"&lt;/strong&gt;",""))</f>
        <v/>
      </c>
      <c r="I92" s="11" cm="1" t="str">
        <f t="array" ref="I92">IF(C92="","",IF(OR(H92="",H92=0,H92=FALSE),"-",H92))</f>
        <v/>
      </c>
      <c r="J92" s="5">
</c>
      <c r="K92" s="6">
</c>
      <c r="L92" s="6" cm="1" t="str">
        <f t="array" ref="L92">IF(C92="","",IF(K92="Mort / Plus rien à faire","KO","OK"))</f>
        <v/>
      </c>
      <c r="M92" s="12">
</c>
      <c r="N92" s="12" cm="1" t="str">
        <f t="array" ref="N92">IF(OR(C92="",M92="",M92=0),"",M92)</f>
        <v/>
      </c>
      <c r="O92" s="12">
</c>
      <c r="P92" s="12" cm="1" t="str">
        <f t="array" ref="P92">IF(C92="","",IF(OR(O92="",O92=0),"-",O92))</f>
        <v/>
      </c>
      <c r="Q92" s="13">
</c>
      <c r="R92" s="9" cm="1" t="str">
        <f t="array" ref="R92">IF(C92="","",ROUND(Q92/1000000,3)&amp;" M€")</f>
        <v/>
      </c>
      <c r="S92" s="9">
</c>
      <c r="T92" s="9" cm="1" t="str">
        <f t="array" ref="T92">IF(C92="","",SUBSTITUTE(S92,"","")&amp;"%")</f>
        <v/>
      </c>
      <c r="U92" s="11" cm="1" t="str">
        <f t="array" ref="U92">IF(($N92="")*($P92=""),"",IF(($N92&lt;&gt;"")*($N92&gt;TODAY()-9)*($N92&lt;TODAY()+1)*($P92&lt;&gt;"")*($P92&gt;=TODAY())*($P92&lt;=TODAY()+13),"Semaine passée &amp; à venir",IF(($N92&lt;&gt;"")*($N92&gt;TODAY()-9)*($N92&lt;TODAY()+1),"Semaine passée",IF(($P92&lt;&gt;"")*($P92&gt;=TODAY())*($P92&lt;=TODAY()+13),"À venir","Autre"))))</f>
        <v/>
      </c>
      <c r="V92" s="5" cm="1" t="n">
        <f t="array" ref="V92">IF(C92&lt;&gt;"",1,0)</f>
        <v>0</v>
      </c>
      <c r="W92" s="5">
</c>
      <c r="X92" s="5">
</c>
      <c r="Y92" s="5">
</c>
      <c r="Z92" s="5">
</c>
      <c r="AA92" s="5">
</c>
      <c r="AB92" s="5">
</c>
      <c r="AC92" s="5">
</c>
      <c r="AD92" s="5">
</c>
      <c r="AE92" s="5">
</c>
      <c r="AF92" s="5">
</c>
      <c r="AG92" s="5">
</c>
      <c r="AH92" s="5">
</c>
      <c r="AI92" s="5">
</c>
      <c r="AJ92" s="5">
</c>
    </row>
    <row r="93" ht="81" customHeight="1">
      <c r="A93" s="6">
</c>
      <c r="B93" s="6">
</c>
      <c r="C93" s="9">
</c>
      <c r="D93" s="9">
</c>
      <c r="E93" s="6">
</c>
      <c r="F93" s="5">
</c>
      <c r="G93" s="10" cm="1" t="str">
        <f t="array" ref="G93">IF(F93="","",SUBSTITUTE(SUBSTITUTE(SUBSTITUTE(SUBSTITUTE(F93,"&lt;li&gt;",CHAR(10)),"&lt;/li&gt;",""),"&lt;br&gt;",CHAR(10)),"&lt;strong&gt;",""))</f>
        <v/>
      </c>
      <c r="H93" s="10" cm="1" t="str">
        <f t="array" ref="H93">IF(G93="","",SUBSTITUTE(SUBSTITUTE(SUBSTITUTE(SUBSTITUTE(SUBSTITUTE(G93,"&lt;p&gt;",""),"&lt;/p&gt;",""),"&lt;ul&gt;",""),"&lt;/ul&gt;",""),"&lt;/strong&gt;",""))</f>
        <v/>
      </c>
      <c r="I93" s="11" cm="1" t="str">
        <f t="array" ref="I93">IF(C93="","",IF(OR(H93="",H93=0,H93=FALSE),"-",H93))</f>
        <v/>
      </c>
      <c r="J93" s="5">
</c>
      <c r="K93" s="6">
</c>
      <c r="L93" s="6" cm="1" t="str">
        <f t="array" ref="L93">IF(C93="","",IF(K93="Mort / Plus rien à faire","KO","OK"))</f>
        <v/>
      </c>
      <c r="M93" s="12">
</c>
      <c r="N93" s="12" cm="1" t="str">
        <f t="array" ref="N93">IF(OR(C93="",M93="",M93=0),"",M93)</f>
        <v/>
      </c>
      <c r="O93" s="12">
</c>
      <c r="P93" s="12" cm="1" t="str">
        <f t="array" ref="P93">IF(C93="","",IF(OR(O93="",O93=0),"-",O93))</f>
        <v/>
      </c>
      <c r="Q93" s="13">
</c>
      <c r="R93" s="9" cm="1" t="str">
        <f t="array" ref="R93">IF(C93="","",ROUND(Q93/1000000,3)&amp;" M€")</f>
        <v/>
      </c>
      <c r="S93" s="9">
</c>
      <c r="T93" s="9" cm="1" t="str">
        <f t="array" ref="T93">IF(C93="","",SUBSTITUTE(S93,"","")&amp;"%")</f>
        <v/>
      </c>
      <c r="U93" s="11" cm="1" t="str">
        <f t="array" ref="U93">IF(($N93="")*($P93=""),"",IF(($N93&lt;&gt;"")*($N93&gt;TODAY()-9)*($N93&lt;TODAY()+1)*($P93&lt;&gt;"")*($P93&gt;=TODAY())*($P93&lt;=TODAY()+13),"Semaine passée &amp; à venir",IF(($N93&lt;&gt;"")*($N93&gt;TODAY()-9)*($N93&lt;TODAY()+1),"Semaine passée",IF(($P93&lt;&gt;"")*($P93&gt;=TODAY())*($P93&lt;=TODAY()+13),"À venir","Autre"))))</f>
        <v/>
      </c>
      <c r="V93" s="5" cm="1" t="n">
        <f t="array" ref="V93">IF(C93&lt;&gt;"",1,0)</f>
        <v>0</v>
      </c>
      <c r="W93" s="5">
</c>
      <c r="X93" s="5">
</c>
      <c r="Y93" s="5">
</c>
      <c r="Z93" s="5">
</c>
      <c r="AA93" s="5">
</c>
      <c r="AB93" s="5">
</c>
      <c r="AC93" s="5">
</c>
      <c r="AD93" s="5">
</c>
      <c r="AE93" s="5">
</c>
      <c r="AF93" s="5">
</c>
      <c r="AG93" s="5">
</c>
      <c r="AH93" s="5">
</c>
      <c r="AI93" s="5">
</c>
      <c r="AJ93" s="5">
</c>
    </row>
    <row r="94" ht="81" customHeight="1">
      <c r="A94" s="6">
</c>
      <c r="B94" s="6">
</c>
      <c r="C94" s="9">
</c>
      <c r="D94" s="9">
</c>
      <c r="E94" s="6">
</c>
      <c r="F94" s="5">
</c>
      <c r="G94" s="10" cm="1" t="str">
        <f t="array" ref="G94">IF(F94="","",SUBSTITUTE(SUBSTITUTE(SUBSTITUTE(SUBSTITUTE(F94,"&lt;li&gt;",CHAR(10)),"&lt;/li&gt;",""),"&lt;br&gt;",CHAR(10)),"&lt;strong&gt;",""))</f>
        <v/>
      </c>
      <c r="H94" s="10" cm="1" t="str">
        <f t="array" ref="H94">IF(G94="","",SUBSTITUTE(SUBSTITUTE(SUBSTITUTE(SUBSTITUTE(SUBSTITUTE(G94,"&lt;p&gt;",""),"&lt;/p&gt;",""),"&lt;ul&gt;",""),"&lt;/ul&gt;",""),"&lt;/strong&gt;",""))</f>
        <v/>
      </c>
      <c r="I94" s="11" cm="1" t="str">
        <f t="array" ref="I94">IF(C94="","",IF(OR(H94="",H94=0,H94=FALSE),"-",H94))</f>
        <v/>
      </c>
      <c r="J94" s="5">
</c>
      <c r="K94" s="6">
</c>
      <c r="L94" s="6" cm="1" t="str">
        <f t="array" ref="L94">IF(C94="","",IF(K94="Mort / Plus rien à faire","KO","OK"))</f>
        <v/>
      </c>
      <c r="M94" s="12">
</c>
      <c r="N94" s="12" cm="1" t="str">
        <f t="array" ref="N94">IF(OR(C94="",M94="",M94=0),"",M94)</f>
        <v/>
      </c>
      <c r="O94" s="12">
</c>
      <c r="P94" s="12" cm="1" t="str">
        <f t="array" ref="P94">IF(C94="","",IF(OR(O94="",O94=0),"-",O94))</f>
        <v/>
      </c>
      <c r="Q94" s="13">
</c>
      <c r="R94" s="9" cm="1" t="str">
        <f t="array" ref="R94">IF(C94="","",ROUND(Q94/1000000,3)&amp;" M€")</f>
        <v/>
      </c>
      <c r="S94" s="9">
</c>
      <c r="T94" s="9" cm="1" t="str">
        <f t="array" ref="T94">IF(C94="","",SUBSTITUTE(S94,"","")&amp;"%")</f>
        <v/>
      </c>
      <c r="U94" s="11" cm="1" t="str">
        <f t="array" ref="U94">IF(($N94="")*($P94=""),"",IF(($N94&lt;&gt;"")*($N94&gt;TODAY()-9)*($N94&lt;TODAY()+1)*($P94&lt;&gt;"")*($P94&gt;=TODAY())*($P94&lt;=TODAY()+13),"Semaine passée &amp; à venir",IF(($N94&lt;&gt;"")*($N94&gt;TODAY()-9)*($N94&lt;TODAY()+1),"Semaine passée",IF(($P94&lt;&gt;"")*($P94&gt;=TODAY())*($P94&lt;=TODAY()+13),"À venir","Autre"))))</f>
        <v/>
      </c>
      <c r="V94" s="5" cm="1" t="n">
        <f t="array" ref="V94">IF(C94&lt;&gt;"",1,0)</f>
        <v>0</v>
      </c>
      <c r="W94" s="5">
</c>
      <c r="X94" s="5">
</c>
      <c r="Y94" s="5">
</c>
      <c r="Z94" s="5">
</c>
      <c r="AA94" s="5">
</c>
      <c r="AB94" s="5">
</c>
      <c r="AC94" s="5">
</c>
      <c r="AD94" s="5">
</c>
      <c r="AE94" s="5">
</c>
      <c r="AF94" s="5">
</c>
      <c r="AG94" s="5">
</c>
      <c r="AH94" s="5">
</c>
      <c r="AI94" s="5">
</c>
      <c r="AJ94" s="5">
</c>
    </row>
    <row r="95" ht="81" customHeight="1">
      <c r="A95" s="6">
</c>
      <c r="B95" s="6">
</c>
      <c r="C95" s="9">
</c>
      <c r="D95" s="9">
</c>
      <c r="E95" s="6">
</c>
      <c r="F95" s="5">
</c>
      <c r="G95" s="10" cm="1" t="str">
        <f t="array" ref="G95">IF(F95="","",SUBSTITUTE(SUBSTITUTE(SUBSTITUTE(SUBSTITUTE(F95,"&lt;li&gt;",CHAR(10)),"&lt;/li&gt;",""),"&lt;br&gt;",CHAR(10)),"&lt;strong&gt;",""))</f>
        <v/>
      </c>
      <c r="H95" s="10" cm="1" t="str">
        <f t="array" ref="H95">IF(G95="","",SUBSTITUTE(SUBSTITUTE(SUBSTITUTE(SUBSTITUTE(SUBSTITUTE(G95,"&lt;p&gt;",""),"&lt;/p&gt;",""),"&lt;ul&gt;",""),"&lt;/ul&gt;",""),"&lt;/strong&gt;",""))</f>
        <v/>
      </c>
      <c r="I95" s="11" cm="1" t="str">
        <f t="array" ref="I95">IF(C95="","",IF(OR(H95="",H95=0,H95=FALSE),"-",H95))</f>
        <v/>
      </c>
      <c r="J95" s="5">
</c>
      <c r="K95" s="6">
</c>
      <c r="L95" s="6" cm="1" t="str">
        <f t="array" ref="L95">IF(C95="","",IF(K95="Mort / Plus rien à faire","KO","OK"))</f>
        <v/>
      </c>
      <c r="M95" s="12">
</c>
      <c r="N95" s="12" cm="1" t="str">
        <f t="array" ref="N95">IF(OR(C95="",M95="",M95=0),"",M95)</f>
        <v/>
      </c>
      <c r="O95" s="12">
</c>
      <c r="P95" s="12" cm="1" t="str">
        <f t="array" ref="P95">IF(C95="","",IF(OR(O95="",O95=0),"-",O95))</f>
        <v/>
      </c>
      <c r="Q95" s="13">
</c>
      <c r="R95" s="9" cm="1" t="str">
        <f t="array" ref="R95">IF(C95="","",ROUND(Q95/1000000,3)&amp;" M€")</f>
        <v/>
      </c>
      <c r="S95" s="9">
</c>
      <c r="T95" s="9" cm="1" t="str">
        <f t="array" ref="T95">IF(C95="","",SUBSTITUTE(S95,"","")&amp;"%")</f>
        <v/>
      </c>
      <c r="U95" s="11" cm="1" t="str">
        <f t="array" ref="U95">IF(($N95="")*($P95=""),"",IF(($N95&lt;&gt;"")*($N95&gt;TODAY()-9)*($N95&lt;TODAY()+1)*($P95&lt;&gt;"")*($P95&gt;=TODAY())*($P95&lt;=TODAY()+13),"Semaine passée &amp; à venir",IF(($N95&lt;&gt;"")*($N95&gt;TODAY()-9)*($N95&lt;TODAY()+1),"Semaine passée",IF(($P95&lt;&gt;"")*($P95&gt;=TODAY())*($P95&lt;=TODAY()+13),"À venir","Autre"))))</f>
        <v/>
      </c>
      <c r="V95" s="5" cm="1" t="n">
        <f t="array" ref="V95">IF(C95&lt;&gt;"",1,0)</f>
        <v>0</v>
      </c>
      <c r="W95" s="5">
</c>
      <c r="X95" s="5">
</c>
      <c r="Y95" s="5">
</c>
      <c r="Z95" s="5">
</c>
      <c r="AA95" s="5">
</c>
      <c r="AB95" s="5">
</c>
      <c r="AC95" s="5">
</c>
      <c r="AD95" s="5">
</c>
      <c r="AE95" s="5">
</c>
      <c r="AF95" s="5">
</c>
      <c r="AG95" s="5">
</c>
      <c r="AH95" s="5">
</c>
      <c r="AI95" s="5">
</c>
      <c r="AJ95" s="5">
</c>
    </row>
    <row r="96" ht="81" customHeight="1">
      <c r="A96" s="6">
</c>
      <c r="B96" s="6">
</c>
      <c r="C96" s="9">
</c>
      <c r="D96" s="9">
</c>
      <c r="E96" s="6">
</c>
      <c r="F96" s="5">
</c>
      <c r="G96" s="10" cm="1" t="str">
        <f t="array" ref="G96">IF(F96="","",SUBSTITUTE(SUBSTITUTE(SUBSTITUTE(SUBSTITUTE(F96,"&lt;li&gt;",CHAR(10)),"&lt;/li&gt;",""),"&lt;br&gt;",CHAR(10)),"&lt;strong&gt;",""))</f>
        <v/>
      </c>
      <c r="H96" s="10" cm="1" t="str">
        <f t="array" ref="H96">IF(G96="","",SUBSTITUTE(SUBSTITUTE(SUBSTITUTE(SUBSTITUTE(SUBSTITUTE(G96,"&lt;p&gt;",""),"&lt;/p&gt;",""),"&lt;ul&gt;",""),"&lt;/ul&gt;",""),"&lt;/strong&gt;",""))</f>
        <v/>
      </c>
      <c r="I96" s="11" cm="1" t="str">
        <f t="array" ref="I96">IF(C96="","",IF(OR(H96="",H96=0,H96=FALSE),"-",H96))</f>
        <v/>
      </c>
      <c r="J96" s="5">
</c>
      <c r="K96" s="6">
</c>
      <c r="L96" s="6" cm="1" t="str">
        <f t="array" ref="L96">IF(C96="","",IF(K96="Mort / Plus rien à faire","KO","OK"))</f>
        <v/>
      </c>
      <c r="M96" s="12">
</c>
      <c r="N96" s="12" cm="1" t="str">
        <f t="array" ref="N96">IF(OR(C96="",M96="",M96=0),"",M96)</f>
        <v/>
      </c>
      <c r="O96" s="12">
</c>
      <c r="P96" s="12" cm="1" t="str">
        <f t="array" ref="P96">IF(C96="","",IF(OR(O96="",O96=0),"-",O96))</f>
        <v/>
      </c>
      <c r="Q96" s="13">
</c>
      <c r="R96" s="9" cm="1" t="str">
        <f t="array" ref="R96">IF(C96="","",ROUND(Q96/1000000,3)&amp;" M€")</f>
        <v/>
      </c>
      <c r="S96" s="9">
</c>
      <c r="T96" s="9" cm="1" t="str">
        <f t="array" ref="T96">IF(C96="","",SUBSTITUTE(S96,"","")&amp;"%")</f>
        <v/>
      </c>
      <c r="U96" s="11" cm="1" t="str">
        <f t="array" ref="U96">IF(($N96="")*($P96=""),"",IF(($N96&lt;&gt;"")*($N96&gt;TODAY()-9)*($N96&lt;TODAY()+1)*($P96&lt;&gt;"")*($P96&gt;=TODAY())*($P96&lt;=TODAY()+13),"Semaine passée &amp; à venir",IF(($N96&lt;&gt;"")*($N96&gt;TODAY()-9)*($N96&lt;TODAY()+1),"Semaine passée",IF(($P96&lt;&gt;"")*($P96&gt;=TODAY())*($P96&lt;=TODAY()+13),"À venir","Autre"))))</f>
        <v/>
      </c>
      <c r="V96" s="5" cm="1" t="n">
        <f t="array" ref="V96">IF(C96&lt;&gt;"",1,0)</f>
        <v>0</v>
      </c>
      <c r="W96" s="5">
</c>
      <c r="X96" s="5">
</c>
      <c r="Y96" s="5">
</c>
      <c r="Z96" s="5">
</c>
      <c r="AA96" s="5">
</c>
      <c r="AB96" s="5">
</c>
      <c r="AC96" s="5">
</c>
      <c r="AD96" s="5">
</c>
      <c r="AE96" s="5">
</c>
      <c r="AF96" s="5">
</c>
      <c r="AG96" s="5">
</c>
      <c r="AH96" s="5">
</c>
      <c r="AI96" s="5">
</c>
      <c r="AJ96" s="5">
</c>
    </row>
    <row r="97" ht="81" customHeight="1">
      <c r="A97" s="6">
</c>
      <c r="B97" s="6">
</c>
      <c r="C97" s="9">
</c>
      <c r="D97" s="9">
</c>
      <c r="E97" s="6">
</c>
      <c r="F97" s="5">
</c>
      <c r="G97" s="10" cm="1" t="str">
        <f t="array" ref="G97">IF(F97="","",SUBSTITUTE(SUBSTITUTE(SUBSTITUTE(SUBSTITUTE(F97,"&lt;li&gt;",CHAR(10)),"&lt;/li&gt;",""),"&lt;br&gt;",CHAR(10)),"&lt;strong&gt;",""))</f>
        <v/>
      </c>
      <c r="H97" s="10" cm="1" t="str">
        <f t="array" ref="H97">IF(G97="","",SUBSTITUTE(SUBSTITUTE(SUBSTITUTE(SUBSTITUTE(SUBSTITUTE(G97,"&lt;p&gt;",""),"&lt;/p&gt;",""),"&lt;ul&gt;",""),"&lt;/ul&gt;",""),"&lt;/strong&gt;",""))</f>
        <v/>
      </c>
      <c r="I97" s="11" cm="1" t="str">
        <f t="array" ref="I97">IF(C97="","",IF(OR(H97="",H97=0,H97=FALSE),"-",H97))</f>
        <v/>
      </c>
      <c r="J97" s="5">
</c>
      <c r="K97" s="6">
</c>
      <c r="L97" s="6" cm="1" t="str">
        <f t="array" ref="L97">IF(C97="","",IF(K97="Mort / Plus rien à faire","KO","OK"))</f>
        <v/>
      </c>
      <c r="M97" s="12">
</c>
      <c r="N97" s="12" cm="1" t="str">
        <f t="array" ref="N97">IF(OR(C97="",M97="",M97=0),"",M97)</f>
        <v/>
      </c>
      <c r="O97" s="12">
</c>
      <c r="P97" s="12" cm="1" t="str">
        <f t="array" ref="P97">IF(C97="","",IF(OR(O97="",O97=0),"-",O97))</f>
        <v/>
      </c>
      <c r="Q97" s="13">
</c>
      <c r="R97" s="9" cm="1" t="str">
        <f t="array" ref="R97">IF(C97="","",ROUND(Q97/1000000,3)&amp;" M€")</f>
        <v/>
      </c>
      <c r="S97" s="9">
</c>
      <c r="T97" s="9" cm="1" t="str">
        <f t="array" ref="T97">IF(C97="","",SUBSTITUTE(S97,"","")&amp;"%")</f>
        <v/>
      </c>
      <c r="U97" s="11" cm="1" t="str">
        <f t="array" ref="U97">IF(($N97="")*($P97=""),"",IF(($N97&lt;&gt;"")*($N97&gt;TODAY()-9)*($N97&lt;TODAY()+1)*($P97&lt;&gt;"")*($P97&gt;=TODAY())*($P97&lt;=TODAY()+13),"Semaine passée &amp; à venir",IF(($N97&lt;&gt;"")*($N97&gt;TODAY()-9)*($N97&lt;TODAY()+1),"Semaine passée",IF(($P97&lt;&gt;"")*($P97&gt;=TODAY())*($P97&lt;=TODAY()+13),"À venir","Autre"))))</f>
        <v/>
      </c>
      <c r="V97" s="5" cm="1" t="n">
        <f t="array" ref="V97">IF(C97&lt;&gt;"",1,0)</f>
        <v>0</v>
      </c>
      <c r="W97" s="5">
</c>
      <c r="X97" s="5">
</c>
      <c r="Y97" s="5">
</c>
      <c r="Z97" s="5">
</c>
      <c r="AA97" s="5">
</c>
      <c r="AB97" s="5">
</c>
      <c r="AC97" s="5">
</c>
      <c r="AD97" s="5">
</c>
      <c r="AE97" s="5">
</c>
      <c r="AF97" s="5">
</c>
      <c r="AG97" s="5">
</c>
      <c r="AH97" s="5">
</c>
      <c r="AI97" s="5">
</c>
      <c r="AJ97" s="5">
</c>
    </row>
    <row r="98" ht="81" customHeight="1">
      <c r="A98" s="6">
</c>
      <c r="B98" s="6">
</c>
      <c r="C98" s="9">
</c>
      <c r="D98" s="9">
</c>
      <c r="E98" s="6">
</c>
      <c r="F98" s="5">
</c>
      <c r="G98" s="10" cm="1" t="str">
        <f t="array" ref="G98">IF(F98="","",SUBSTITUTE(SUBSTITUTE(SUBSTITUTE(SUBSTITUTE(F98,"&lt;li&gt;",CHAR(10)),"&lt;/li&gt;",""),"&lt;br&gt;",CHAR(10)),"&lt;strong&gt;",""))</f>
        <v/>
      </c>
      <c r="H98" s="10" cm="1" t="str">
        <f t="array" ref="H98">IF(G98="","",SUBSTITUTE(SUBSTITUTE(SUBSTITUTE(SUBSTITUTE(SUBSTITUTE(G98,"&lt;p&gt;",""),"&lt;/p&gt;",""),"&lt;ul&gt;",""),"&lt;/ul&gt;",""),"&lt;/strong&gt;",""))</f>
        <v/>
      </c>
      <c r="I98" s="11" cm="1" t="str">
        <f t="array" ref="I98">IF(C98="","",IF(OR(H98="",H98=0,H98=FALSE),"-",H98))</f>
        <v/>
      </c>
      <c r="J98" s="5">
</c>
      <c r="K98" s="6">
</c>
      <c r="L98" s="6" cm="1" t="str">
        <f t="array" ref="L98">IF(C98="","",IF(K98="Mort / Plus rien à faire","KO","OK"))</f>
        <v/>
      </c>
      <c r="M98" s="12">
</c>
      <c r="N98" s="12" cm="1" t="str">
        <f t="array" ref="N98">IF(OR(C98="",M98="",M98=0),"",M98)</f>
        <v/>
      </c>
      <c r="O98" s="12">
</c>
      <c r="P98" s="12" cm="1" t="str">
        <f t="array" ref="P98">IF(C98="","",IF(OR(O98="",O98=0),"-",O98))</f>
        <v/>
      </c>
      <c r="Q98" s="13">
</c>
      <c r="R98" s="9" cm="1" t="str">
        <f t="array" ref="R98">IF(C98="","",ROUND(Q98/1000000,3)&amp;" M€")</f>
        <v/>
      </c>
      <c r="S98" s="9">
</c>
      <c r="T98" s="9" cm="1" t="str">
        <f t="array" ref="T98">IF(C98="","",SUBSTITUTE(S98,"","")&amp;"%")</f>
        <v/>
      </c>
      <c r="U98" s="11" cm="1" t="str">
        <f t="array" ref="U98">IF(($N98="")*($P98=""),"",IF(($N98&lt;&gt;"")*($N98&gt;TODAY()-9)*($N98&lt;TODAY()+1)*($P98&lt;&gt;"")*($P98&gt;=TODAY())*($P98&lt;=TODAY()+13),"Semaine passée &amp; à venir",IF(($N98&lt;&gt;"")*($N98&gt;TODAY()-9)*($N98&lt;TODAY()+1),"Semaine passée",IF(($P98&lt;&gt;"")*($P98&gt;=TODAY())*($P98&lt;=TODAY()+13),"À venir","Autre"))))</f>
        <v/>
      </c>
      <c r="V98" s="5" cm="1" t="n">
        <f t="array" ref="V98">IF(C98&lt;&gt;"",1,0)</f>
        <v>0</v>
      </c>
      <c r="W98" s="5">
</c>
      <c r="X98" s="5">
</c>
      <c r="Y98" s="5">
</c>
      <c r="Z98" s="5">
</c>
      <c r="AA98" s="5">
</c>
      <c r="AB98" s="5">
</c>
      <c r="AC98" s="5">
</c>
      <c r="AD98" s="5">
</c>
      <c r="AE98" s="5">
</c>
      <c r="AF98" s="5">
</c>
      <c r="AG98" s="5">
</c>
      <c r="AH98" s="5">
</c>
      <c r="AI98" s="5">
</c>
      <c r="AJ98" s="5">
</c>
    </row>
    <row r="99" ht="81" customHeight="1">
      <c r="A99" s="6">
</c>
      <c r="B99" s="6">
</c>
      <c r="C99" s="9">
</c>
      <c r="D99" s="9">
</c>
      <c r="E99" s="6">
</c>
      <c r="F99" s="5">
</c>
      <c r="G99" s="10" cm="1" t="str">
        <f t="array" ref="G99">IF(F99="","",SUBSTITUTE(SUBSTITUTE(SUBSTITUTE(SUBSTITUTE(F99,"&lt;li&gt;",CHAR(10)),"&lt;/li&gt;",""),"&lt;br&gt;",CHAR(10)),"&lt;strong&gt;",""))</f>
        <v/>
      </c>
      <c r="H99" s="10" cm="1" t="str">
        <f t="array" ref="H99">IF(G99="","",SUBSTITUTE(SUBSTITUTE(SUBSTITUTE(SUBSTITUTE(SUBSTITUTE(G99,"&lt;p&gt;",""),"&lt;/p&gt;",""),"&lt;ul&gt;",""),"&lt;/ul&gt;",""),"&lt;/strong&gt;",""))</f>
        <v/>
      </c>
      <c r="I99" s="11" cm="1" t="str">
        <f t="array" ref="I99">IF(C99="","",IF(OR(H99="",H99=0,H99=FALSE),"-",H99))</f>
        <v/>
      </c>
      <c r="J99" s="5">
</c>
      <c r="K99" s="6">
</c>
      <c r="L99" s="6" cm="1" t="str">
        <f t="array" ref="L99">IF(C99="","",IF(K99="Mort / Plus rien à faire","KO","OK"))</f>
        <v/>
      </c>
      <c r="M99" s="12">
</c>
      <c r="N99" s="12" cm="1" t="str">
        <f t="array" ref="N99">IF(OR(C99="",M99="",M99=0),"",M99)</f>
        <v/>
      </c>
      <c r="O99" s="12">
</c>
      <c r="P99" s="12" cm="1" t="str">
        <f t="array" ref="P99">IF(C99="","",IF(OR(O99="",O99=0),"-",O99))</f>
        <v/>
      </c>
      <c r="Q99" s="13">
</c>
      <c r="R99" s="9" cm="1" t="str">
        <f t="array" ref="R99">IF(C99="","",ROUND(Q99/1000000,3)&amp;" M€")</f>
        <v/>
      </c>
      <c r="S99" s="9">
</c>
      <c r="T99" s="9" cm="1" t="str">
        <f t="array" ref="T99">IF(C99="","",SUBSTITUTE(S99,"","")&amp;"%")</f>
        <v/>
      </c>
      <c r="U99" s="11" cm="1" t="str">
        <f t="array" ref="U99">IF(($N99="")*($P99=""),"",IF(($N99&lt;&gt;"")*($N99&gt;TODAY()-9)*($N99&lt;TODAY()+1)*($P99&lt;&gt;"")*($P99&gt;=TODAY())*($P99&lt;=TODAY()+13),"Semaine passée &amp; à venir",IF(($N99&lt;&gt;"")*($N99&gt;TODAY()-9)*($N99&lt;TODAY()+1),"Semaine passée",IF(($P99&lt;&gt;"")*($P99&gt;=TODAY())*($P99&lt;=TODAY()+13),"À venir","Autre"))))</f>
        <v/>
      </c>
      <c r="V99" s="5" cm="1" t="n">
        <f t="array" ref="V99">IF(C99&lt;&gt;"",1,0)</f>
        <v>0</v>
      </c>
      <c r="W99" s="5">
</c>
      <c r="X99" s="5">
</c>
      <c r="Y99" s="5">
</c>
      <c r="Z99" s="5">
</c>
      <c r="AA99" s="5">
</c>
      <c r="AB99" s="5">
</c>
      <c r="AC99" s="5">
</c>
      <c r="AD99" s="5">
</c>
      <c r="AE99" s="5">
</c>
      <c r="AF99" s="5">
</c>
      <c r="AG99" s="5">
</c>
      <c r="AH99" s="5">
</c>
      <c r="AI99" s="5">
</c>
      <c r="AJ99" s="5">
</c>
    </row>
    <row r="100" ht="81" customHeight="1">
      <c r="A100" s="6">
</c>
      <c r="B100" s="6">
</c>
      <c r="C100" s="9">
</c>
      <c r="D100" s="9">
</c>
      <c r="E100" s="6">
</c>
      <c r="F100" s="5">
</c>
      <c r="G100" s="10" cm="1" t="str">
        <f t="array" ref="G100">IF(F100="","",SUBSTITUTE(SUBSTITUTE(SUBSTITUTE(SUBSTITUTE(F100,"&lt;li&gt;",CHAR(10)),"&lt;/li&gt;",""),"&lt;br&gt;",CHAR(10)),"&lt;strong&gt;",""))</f>
        <v/>
      </c>
      <c r="H100" s="10" cm="1" t="str">
        <f t="array" ref="H100">IF(G100="","",SUBSTITUTE(SUBSTITUTE(SUBSTITUTE(SUBSTITUTE(SUBSTITUTE(G100,"&lt;p&gt;",""),"&lt;/p&gt;",""),"&lt;ul&gt;",""),"&lt;/ul&gt;",""),"&lt;/strong&gt;",""))</f>
        <v/>
      </c>
      <c r="I100" s="11" cm="1" t="str">
        <f t="array" ref="I100">IF(C100="","",IF(OR(H100="",H100=0,H100=FALSE),"-",H100))</f>
        <v/>
      </c>
      <c r="J100" s="5">
</c>
      <c r="K100" s="6">
</c>
      <c r="L100" s="6" cm="1" t="str">
        <f t="array" ref="L100">IF(C100="","",IF(K100="Mort / Plus rien à faire","KO","OK"))</f>
        <v/>
      </c>
      <c r="M100" s="12">
</c>
      <c r="N100" s="12" cm="1" t="str">
        <f t="array" ref="N100">IF(OR(C100="",M100="",M100=0),"",M100)</f>
        <v/>
      </c>
      <c r="O100" s="12">
</c>
      <c r="P100" s="12" cm="1" t="str">
        <f t="array" ref="P100">IF(C100="","",IF(OR(O100="",O100=0),"-",O100))</f>
        <v/>
      </c>
      <c r="Q100" s="13">
</c>
      <c r="R100" s="9" cm="1" t="str">
        <f t="array" ref="R100">IF(C100="","",ROUND(Q100/1000000,3)&amp;" M€")</f>
        <v/>
      </c>
      <c r="S100" s="9">
</c>
      <c r="T100" s="9" cm="1" t="str">
        <f t="array" ref="T100">IF(C100="","",SUBSTITUTE(S100,"","")&amp;"%")</f>
        <v/>
      </c>
      <c r="U100" s="11" cm="1" t="str">
        <f t="array" ref="U100">IF(($N100="")*($P100=""),"",IF(($N100&lt;&gt;"")*($N100&gt;TODAY()-9)*($N100&lt;TODAY()+1)*($P100&lt;&gt;"")*($P100&gt;=TODAY())*($P100&lt;=TODAY()+13),"Semaine passée &amp; à venir",IF(($N100&lt;&gt;"")*($N100&gt;TODAY()-9)*($N100&lt;TODAY()+1),"Semaine passée",IF(($P100&lt;&gt;"")*($P100&gt;=TODAY())*($P100&lt;=TODAY()+13),"À venir","Autre"))))</f>
        <v/>
      </c>
      <c r="V100" s="5" cm="1" t="n">
        <f t="array" ref="V100">IF(C100&lt;&gt;"",1,0)</f>
        <v>0</v>
      </c>
      <c r="W100" s="5">
</c>
      <c r="X100" s="5">
</c>
      <c r="Y100" s="5">
</c>
      <c r="Z100" s="5">
</c>
      <c r="AA100" s="5">
</c>
      <c r="AB100" s="5">
</c>
      <c r="AC100" s="5">
</c>
      <c r="AD100" s="5">
</c>
      <c r="AE100" s="5">
</c>
      <c r="AF100" s="5">
</c>
      <c r="AG100" s="5">
</c>
      <c r="AH100" s="5">
</c>
      <c r="AI100" s="5">
</c>
      <c r="AJ100" s="5">
</c>
    </row>
    <row r="101" ht="81" customHeight="1">
      <c r="A101" s="6">
</c>
      <c r="B101" s="6">
</c>
      <c r="C101" s="9">
</c>
      <c r="D101" s="9">
</c>
      <c r="E101" s="6">
</c>
      <c r="F101" s="5">
</c>
      <c r="G101" s="10" cm="1" t="str">
        <f t="array" ref="G101">IF(F101="","",SUBSTITUTE(SUBSTITUTE(SUBSTITUTE(SUBSTITUTE(F101,"&lt;li&gt;",CHAR(10)),"&lt;/li&gt;",""),"&lt;br&gt;",CHAR(10)),"&lt;strong&gt;",""))</f>
        <v/>
      </c>
      <c r="H101" s="10" cm="1" t="str">
        <f t="array" ref="H101">IF(G101="","",SUBSTITUTE(SUBSTITUTE(SUBSTITUTE(SUBSTITUTE(SUBSTITUTE(G101,"&lt;p&gt;",""),"&lt;/p&gt;",""),"&lt;ul&gt;",""),"&lt;/ul&gt;",""),"&lt;/strong&gt;",""))</f>
        <v/>
      </c>
      <c r="I101" s="11" cm="1" t="str">
        <f t="array" ref="I101">IF(C101="","",IF(OR(H101="",H101=0,H101=FALSE),"-",H101))</f>
        <v/>
      </c>
      <c r="J101" s="5">
</c>
      <c r="K101" s="6">
</c>
      <c r="L101" s="6" cm="1" t="str">
        <f t="array" ref="L101">IF(C101="","",IF(K101="Mort / Plus rien à faire","KO","OK"))</f>
        <v/>
      </c>
      <c r="M101" s="12">
</c>
      <c r="N101" s="12" cm="1" t="str">
        <f t="array" ref="N101">IF(OR(C101="",M101="",M101=0),"",M101)</f>
        <v/>
      </c>
      <c r="O101" s="12">
</c>
      <c r="P101" s="12" cm="1" t="str">
        <f t="array" ref="P101">IF(C101="","",IF(OR(O101="",O101=0),"-",O101))</f>
        <v/>
      </c>
      <c r="Q101" s="13">
</c>
      <c r="R101" s="9" cm="1" t="str">
        <f t="array" ref="R101">IF(C101="","",ROUND(Q101/1000000,3)&amp;" M€")</f>
        <v/>
      </c>
      <c r="S101" s="9">
</c>
      <c r="T101" s="9" cm="1" t="str">
        <f t="array" ref="T101">IF(C101="","",SUBSTITUTE(S101,"","")&amp;"%")</f>
        <v/>
      </c>
      <c r="U101" s="11" cm="1" t="str">
        <f t="array" ref="U101">IF(($N101="")*($P101=""),"",IF(($N101&lt;&gt;"")*($N101&gt;TODAY()-9)*($N101&lt;TODAY()+1)*($P101&lt;&gt;"")*($P101&gt;=TODAY())*($P101&lt;=TODAY()+13),"Semaine passée &amp; à venir",IF(($N101&lt;&gt;"")*($N101&gt;TODAY()-9)*($N101&lt;TODAY()+1),"Semaine passée",IF(($P101&lt;&gt;"")*($P101&gt;=TODAY())*($P101&lt;=TODAY()+13),"À venir","Autre"))))</f>
        <v/>
      </c>
      <c r="V101" s="5" cm="1" t="n">
        <f t="array" ref="V101">IF(C101&lt;&gt;"",1,0)</f>
        <v>0</v>
      </c>
      <c r="W101" s="5">
</c>
      <c r="X101" s="5">
</c>
      <c r="Y101" s="5">
</c>
      <c r="Z101" s="5">
</c>
      <c r="AA101" s="5">
</c>
      <c r="AB101" s="5">
</c>
      <c r="AC101" s="5">
</c>
      <c r="AD101" s="5">
</c>
      <c r="AE101" s="5">
</c>
      <c r="AF101" s="5">
</c>
      <c r="AG101" s="5">
</c>
      <c r="AH101" s="5">
</c>
      <c r="AI101" s="5">
</c>
      <c r="AJ101" s="5">
</c>
    </row>
    <row r="102" ht="81" customHeight="1">
      <c r="A102" s="6">
</c>
      <c r="B102" s="6">
</c>
      <c r="C102" s="9">
</c>
      <c r="D102" s="9">
</c>
      <c r="E102" s="6">
</c>
      <c r="F102" s="5">
</c>
      <c r="G102" s="10" cm="1" t="str">
        <f t="array" ref="G102">IF(F102="","",SUBSTITUTE(SUBSTITUTE(SUBSTITUTE(SUBSTITUTE(F102,"&lt;li&gt;",CHAR(10)),"&lt;/li&gt;",""),"&lt;br&gt;",CHAR(10)),"&lt;strong&gt;",""))</f>
        <v/>
      </c>
      <c r="H102" s="10" cm="1" t="str">
        <f t="array" ref="H102">IF(G102="","",SUBSTITUTE(SUBSTITUTE(SUBSTITUTE(SUBSTITUTE(SUBSTITUTE(G102,"&lt;p&gt;",""),"&lt;/p&gt;",""),"&lt;ul&gt;",""),"&lt;/ul&gt;",""),"&lt;/strong&gt;",""))</f>
        <v/>
      </c>
      <c r="I102" s="11" cm="1" t="str">
        <f t="array" ref="I102">IF(C102="","",IF(OR(H102="",H102=0,H102=FALSE),"-",H102))</f>
        <v/>
      </c>
      <c r="J102" s="5">
</c>
      <c r="K102" s="6">
</c>
      <c r="L102" s="6" cm="1" t="str">
        <f t="array" ref="L102">IF(C102="","",IF(K102="Mort / Plus rien à faire","KO","OK"))</f>
        <v/>
      </c>
      <c r="M102" s="12">
</c>
      <c r="N102" s="12" cm="1" t="str">
        <f t="array" ref="N102">IF(OR(C102="",M102="",M102=0),"",M102)</f>
        <v/>
      </c>
      <c r="O102" s="12">
</c>
      <c r="P102" s="12" cm="1" t="str">
        <f t="array" ref="P102">IF(C102="","",IF(OR(O102="",O102=0),"-",O102))</f>
        <v/>
      </c>
      <c r="Q102" s="13">
</c>
      <c r="R102" s="9" cm="1" t="str">
        <f t="array" ref="R102">IF(C102="","",ROUND(Q102/1000000,3)&amp;" M€")</f>
        <v/>
      </c>
      <c r="S102" s="9">
</c>
      <c r="T102" s="9" cm="1" t="str">
        <f t="array" ref="T102">IF(C102="","",SUBSTITUTE(S102,"","")&amp;"%")</f>
        <v/>
      </c>
      <c r="U102" s="11" cm="1" t="str">
        <f t="array" ref="U102">IF(($N102="")*($P102=""),"",IF(($N102&lt;&gt;"")*($N102&gt;TODAY()-9)*($N102&lt;TODAY()+1)*($P102&lt;&gt;"")*($P102&gt;=TODAY())*($P102&lt;=TODAY()+13),"Semaine passée &amp; à venir",IF(($N102&lt;&gt;"")*($N102&gt;TODAY()-9)*($N102&lt;TODAY()+1),"Semaine passée",IF(($P102&lt;&gt;"")*($P102&gt;=TODAY())*($P102&lt;=TODAY()+13),"À venir","Autre"))))</f>
        <v/>
      </c>
      <c r="V102" s="5" cm="1" t="n">
        <f t="array" ref="V102">IF(C102&lt;&gt;"",1,0)</f>
        <v>0</v>
      </c>
      <c r="W102" s="5">
</c>
      <c r="X102" s="5">
</c>
      <c r="Y102" s="5">
</c>
      <c r="Z102" s="5">
</c>
      <c r="AA102" s="5">
</c>
      <c r="AB102" s="5">
</c>
      <c r="AC102" s="5">
</c>
      <c r="AD102" s="5">
</c>
      <c r="AE102" s="5">
</c>
      <c r="AF102" s="5">
</c>
      <c r="AG102" s="5">
</c>
      <c r="AH102" s="5">
</c>
      <c r="AI102" s="5">
</c>
      <c r="AJ102" s="5">
</c>
    </row>
  </sheetData>
  <conditionalFormatting sqref="N4:N102">
    <cfRule priority="1" stopIfTrue="0" type="expression" dxfId="0">
      <formula>($N4&lt;&gt;"")*(($N4&gt;TODAY()-9)*($N4&lt;TODAY()+1)+(INT($N4)=TODAY()))
</formula>
    </cfRule>
  </conditionalFormatting>
  <conditionalFormatting sqref="P4:P102">
    <cfRule priority="1" stopIfTrue="0" type="expression" dxfId="1">
      <formula>($P4&lt;&gt;"")*($P4&gt;=TODAY())*($P4&lt;=TODAY()+13)</formula>
    </cfRule>
  </conditionalFormatting>
  <conditionalFormatting sqref="I4:I102">
    <cfRule priority="1" stopIfTrue="0" type="expression" dxfId="0">
      <formula>(($N4&lt;&gt;"")*($N4&gt;TODAY()-9)*($N4&lt;=TODAY())) + (($P4&lt;&gt;"")*($P4&gt;=TODAY())*($P4&lt;=TODAY()+13))</formula>
    </cfRule>
  </conditionalFormatting>
  <conditionalFormatting sqref="U4:U102">
    <cfRule priority="1" stopIfTrue="0" type="containsText" text="Semaine passée &amp; à venir" operator="containsText" dxfId="0">
      <formula>NOT(ISERROR(SEARCH("Semaine passée &amp; à venir",U4)))</formula>
    </cfRule>
  </conditionalFormatting>
  <conditionalFormatting sqref="U4:U102">
    <cfRule priority="1" stopIfTrue="0" type="containsText" text="Semaine passée" operator="containsText" dxfId="0">
      <formula>NOT(ISERROR(SEARCH("Semaine passée",U4)))</formula>
    </cfRule>
  </conditionalFormatting>
  <conditionalFormatting sqref="U4:U102">
    <cfRule priority="1" stopIfTrue="0" type="containsText" text="À venir" operator="containsText" dxfId="0">
      <formula>NOT(ISERROR(SEARCH("À venir",U4)))</formula>
    </cfRule>
  </conditionalFormatting>
  <tableParts count="1">
    <tablePart r:id="rId1"/>
  </tableParts>
</worksheet>
</file>