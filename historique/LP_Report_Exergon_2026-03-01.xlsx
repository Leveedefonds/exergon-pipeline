
<file path=[Content_Types].xml><?xml version="1.0" encoding="utf-8"?>
<Types xmlns="http://schemas.openxmlformats.org/package/2006/content-types">
  <Default Extension="avif" ContentType="image/avif"/>
  <Default Extension="bmp" ContentType="image/bmp"/>
  <Default Extension="gif" ContentType="image/gif"/>
  <Default Extension="ico" ContentType="image/vnd.microsoft.icon"/>
  <Default Extension="jpeg" ContentType="image/jpeg"/>
  <Default Extension="png" ContentType="image/png"/>
  <Default Extension="tiff" ContentType="image/tiff"/>
  <Default Extension="webp" ContentType="image/webp"/>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table+xml" PartName="/xl/tables/table1.xml"/>
  <Override ContentType="application/vnd.openxmlformats-officedocument.spreadsheetml.worksheet+xml" PartName="/xl/worksheets/sheet0.xml"/>
  <Override ContentType="application/vnd.openxmlformats-officedocument.spreadsheetml.sheetMetadata+xml" PartName="/xl/metadata.xml"/>
  <Override ContentType="application/vnd.openxmlformats-officedocument.spreadsheetml.styles+xml" PartName="/xl/styles.xml"/>
  <Override ContentType="application/vnd.openxmlformats-officedocument.spreadsheetml.sharedStrings+xml" PartName="/xl/sharedStrings.xml"/>
</Types>
</file>

<file path=_rels/.rels><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state="visible" name="Pipeline (Liste #1)" sheetId="1" r:id="rId1"/>
  </sheets>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<sst xmlns="http://schemas.openxmlformats.org/spreadsheetml/2006/main" count="94" uniqueCount="94">
  <si>
    <t xml:space="preserve">    Fichier LP</t>
  </si>
  <si>
    <t>Fonds</t>
  </si>
  <si>
    <t>Typologie</t>
  </si>
  <si>
    <t>Entité</t>
  </si>
  <si>
    <t>Contact</t>
  </si>
  <si>
    <t>Contact Levée</t>
  </si>
  <si>
    <t>Commentaire</t>
  </si>
  <si>
    <t>Commentaire2</t>
  </si>
  <si>
    <t>Commentaire3</t>
  </si>
  <si>
    <t>Commentaire4</t>
  </si>
  <si>
    <t>Activités</t>
  </si>
  <si>
    <t>Étape</t>
  </si>
  <si>
    <t>Intérêt</t>
  </si>
  <si>
    <t>Date de dernière activité</t>
  </si>
  <si>
    <t>Dernière activité</t>
  </si>
  <si>
    <t>Date de prochaine activité</t>
  </si>
  <si>
    <t>Prochaine activité</t>
  </si>
  <si>
    <t>Revenu attendu</t>
  </si>
  <si>
    <t>Ticket</t>
  </si>
  <si>
    <t>% de Maturation</t>
  </si>
  <si>
    <t>Matu.</t>
  </si>
  <si>
    <t>Tri</t>
  </si>
  <si>
    <t>compteur</t>
  </si>
  <si>
    <t>DEEPTECH - Calderion, DEEPTECH - Exergon</t>
  </si>
  <si>
    <t>Banque (haut de bilan)</t>
  </si>
  <si>
    <t>Crédit Agricole Île de France</t>
  </si>
  <si>
    <t>Christophe JENNEQUIN</t>
  </si>
  <si>
    <t>Amaury Daignes</t>
  </si>
  <si>
    <t>&lt;p&gt;Dernière action&amp;nbsp;: proposition d’un point d’actualité à Christophe Jennequin prévue le 08/01/2026 par Amaury Daignes. Aucun retour prospect ni échange significatif depuis la création de la piste. Prochaine étape&amp;nbsp;: organiser ce point d’actualité, pas d’autres actions ou conclusions notées.&lt;/p&gt;</t>
  </si>
  <si>
    <t>Proposer point actu à Christophe Jennequin</t>
  </si>
  <si>
    <t>Pas encore prêt - A alimenter</t>
  </si>
  <si>
    <t>50</t>
  </si>
  <si>
    <t>DEEPTECH - Exergon</t>
  </si>
  <si>
    <t>Fonds de fonds</t>
  </si>
  <si>
    <t>ARKEA AM FUNDS</t>
  </si>
  <si>
    <t>Emmanuelle Bonale</t>
  </si>
  <si>
    <t>Romain Andrieu</t>
  </si>
  <si>
    <t>&lt;p&gt;Aucune activité menée sur le prospect. Nouvelle piste créée pour l'équipe Ventes, aucun échange, action ou retour enregistré à ce jour. Pas de suivi, pas de prise de contact, pas de retour prospect, aucune prochaine étape identifiée. Suivi à initier.&lt;/p&gt;</t>
  </si>
  <si>
    <t>Intérêt à qualifier</t>
  </si>
  <si>
    <t>10</t>
  </si>
  <si>
    <t>Corporate</t>
  </si>
  <si>
    <t>ALTANA</t>
  </si>
  <si>
    <t>Thomas Kotska</t>
  </si>
  <si>
    <t>Levée de Fonds</t>
  </si>
  <si>
    <t>&lt;p&gt;Aucune activité significative menée sur ce prospect. Uniquement création d'une nouvelle piste pour l'équipe Ventes, sans suivi, échange ou action complémentaire enregistrée à ce jour. Pas de retour ni d'étape future planifiée. Aucun avis ou conclusion du prospect mentionné.&lt;/p&gt;</t>
  </si>
  <si>
    <t>Assurance/Mutuelle</t>
  </si>
  <si>
    <t>Mapfre</t>
  </si>
  <si>
    <t>José-Louis JIMÉNEZ GUAJARDO-FAJARDO</t>
  </si>
  <si>
    <t>&lt;p&gt;Aucune activité ou échange significatif enregistré sur l'opportunité Mapfre. Aucun suivi, aucune interaction ni action récente. Infos prospect : Mapfre, grand groupe d'assurance international, présent dans 40+ pays, 30 000 employés, solutions assurance/réassurance/gestion d'actifs.&lt;/p&gt;</t>
  </si>
  <si>
    <t>UBS</t>
  </si>
  <si>
    <t>Michael BRUNNER</t>
  </si>
  <si>
    <t>&lt;p&gt;Nouvelle piste créée pour UBS, équipe Ventes. Dernière action : planification d'un échange pour EXERGON, question sur la capacité à traiter. Prochaine étape : organiser RDV pour clarifier la capacité EXERGON. Aucun retour prospect ni conclusion sur fonds à ce stade. Responsable : Romain Andrieu.&lt;/p&gt;</t>
  </si>
  <si>
    <t>pour EXERGON &lt;&gt; quelle capacité</t>
  </si>
  <si>
    <t>Fonds de pension</t>
  </si>
  <si>
    <t>Oslo Pensjonsforsikring AS</t>
  </si>
  <si>
    <t>Ryan El Houssein</t>
  </si>
  <si>
    <t>&lt;p&gt;18/12/2025 : Visio OPF-EXERGON, OPF retient Exergon, abandonne Expansion/Calderion. Préférence buyout direct, Seed trop tôt, Serie A/B possible plus tard. Prochaine étape : relance OPF pour Exergon lors du roadshow 9-12/02/2026. Spatial jugé trop lointain, VC/PE direct nordique ok.&lt;/p&gt;</t>
  </si>
  <si>
    <t>BP de mandat OPF connue</t>
  </si>
  <si>
    <t>Interêt indicatif - A creuser</t>
  </si>
  <si>
    <t>MONCEAU GENERALE ASSURANCES</t>
  </si>
  <si>
    <t>Gilles Dupin</t>
  </si>
  <si>
    <t>&lt;p&gt;Aucune activité récente ni échange spécifique détecté avec MONCEAU GENERALE ASSURANCES. Nouvelle piste créée pour équipe Ventes, aucun suivi ou interaction supplémentaire relevé. Pas de retour prospect, pas d'étape à venir identifiée. Infos générales : acteur assurance, présence historique France.&lt;/p&gt;</t>
  </si>
  <si>
    <t>Conseil</t>
  </si>
  <si>
    <t>ALL INVEST</t>
  </si>
  <si>
    <t>Ralph Olmost</t>
  </si>
  <si>
    <t>Edouard Gaurier</t>
  </si>
  <si>
    <t>Gros client intéressé sur la deeptech</t>
  </si>
  <si>
    <t>Crédit Mutuel ARKEA</t>
  </si>
  <si>
    <t>Yann Choquet</t>
  </si>
  <si>
    <t>&lt;p&gt;25/09/2025 : rdv CB avec Julien Carmona (DG ARKEA), Stéphanie Coulon Renouvel reprend le dossier (fonds de fonds). Priorité ARKEA : Spatial, fort intérêt territoire. Préparation réunion stratégique Straton&amp;lt;&amp;gt;SLPE Expansion. Prochaine échéance : 14/01/2026. Pas d'autres actions récentes.&lt;/p&gt;</t>
  </si>
  <si>
    <t>La Mutuelle de Poitiers Assurance</t>
  </si>
  <si>
    <t>Nicolas Guérin</t>
  </si>
  <si>
    <t>&lt;p&gt;RDV physique 05/03/2026&amp;nbsp;: Straton pas encore inscrit comité investissement, rien avant fin mars. Ok pour 1M€ sur Straton, demande incentive financier closing tech. 3 axes&amp;nbsp;: tech (TIBI), souveraineté (Straton), possible mino défense via LaTourCapital. Résultat financier 2025&amp;nbsp;: +10M€. Attente retour passage comité 30/03/2026.&lt;/p&gt;</t>
  </si>
  <si>
    <t>Straton / En attente de retour sur la proposition faite pour un passage comité au 30 mars 2026.</t>
  </si>
  <si>
    <t>AXA</t>
  </si>
  <si>
    <t>Benjamin Komarnicki</t>
  </si>
  <si>
    <t>&lt;p&gt;30/09/2025: plus de réponse, RDV le 5 mai sur autre sujet, CB et Alban de Mailly Nesle impliqués, attente traitement sujet Saptial, AXA discute avec Entrooview (logique business COVEA), relance faite auprès de Benjamin Komarnicki. Pas d'activité récente, prochaines étapes non précisées.&lt;/p&gt;</t>
  </si>
  <si>
    <t>BPCE ASSURANCES</t>
  </si>
  <si>
    <t>Rudy Chappe</t>
  </si>
  <si>
    <t>&lt;p&gt;15/10/2025 : BPCE Assurances refuse notre offre via Flexstone, trop tôt pour eux, préfèrent early growth (mandat TIBI inclus). Opportunités Tech Buy Out évoquées, ticket visé 8M€. Petit-déj avec Corinne Cipière (DG), lead JF Coppe. Aucun suivi ou action future prévue à ce jour.&lt;/p&gt;</t>
  </si>
  <si>
    <t>COVEA FINANCE</t>
  </si>
  <si>
    <t>Olivier Leborgne</t>
  </si>
  <si>
    <t>&lt;p data-oe-version="2.0"&gt;25/11/2025: Après visite Entroview, aucun mouvement. Attente programme investissement 2026. &amp;nbsp;Nouvelle piste créée pour équipe Ventes. Aucune action récente, prochaine étape : attendre retour sur programme 2026.&lt;/p&gt;</t>
  </si>
  <si>
    <t>Planifer rdv avec Guillaume Danssault suite à l'envoi de la Newsletter EXERGON n°10.</t>
  </si>
  <si>
    <t>Public</t>
  </si>
  <si>
    <t>European Organization for Nuclear Research - CERN</t>
  </si>
  <si>
    <t>Elena MANOLA</t>
  </si>
  <si>
    <t>&lt;p&gt;Aucune activité menée sur le prospect. Infos disponibles : Opportunité European Organization for Nuclear Research (CERN), grand laboratoire de physique des particules, plus de 2 500 employés, 12 000 scientifiques, connu pour le LHC. Aucune action, échange ou retour prospect enregistré à ce jour.&lt;/p&gt;</t>
  </si>
  <si>
    <t>0</t>
  </si>
  <si>
    <t>Fonds souverain</t>
  </si>
  <si>
    <t>ENEC</t>
  </si>
  <si>
    <t>Yvon Luc Mompeyssin</t>
  </si>
  <si>
    <t>&lt;p&gt;Nouvelle piste créée pour équipe Ventes par Romain Andrieu. Aucun échange, activité ou retour prospect enregistré à ce jour. Pas d'action menée, pas de suivi, pas de retour ni d'étape planifiée. Aucun élément sur la perception des fonds ou prochaines étapes. Suivi à initier.&lt;/p&gt;</t>
  </si>
  <si>
    <t>rdv numero 2 en cours de calagage</t>
  </si>
</sst>
</file>

<file path=xl/styles.xml><?xml version="1.0" encoding="utf-8"?>
<styleSheet xmlns="http://schemas.openxmlformats.org/spreadsheetml/2006/main" xmlns:r="http://schemas.openxmlformats.org/officeDocument/2006/relationships">
  <numFmts count="2">
    <numFmt numFmtId="164" formatCode="dd/mm/yyyy"/>
    <numFmt numFmtId="165" formatCode="#,##0[$€]"/>
  </numFmts>
  <fonts count="4">
    <font>
      <sz val="10"/>
      <color rgb="000000"/>
      <name val="Arial"/>
    </font>
    <font>
      <sz val="10"/>
      <color rgb="FFFFFF"/>
      <name val="Arial"/>
    </font>
    <font>
      <sz val="30"/>
      <color rgb="FFFFFF"/>
      <name val="Arial"/>
    </font>
    <font>
      <sz val="10"/>
      <color rgb="351C75"/>
      <name val="Arial"/>
    </font>
  </fonts>
  <fills count="4">
    <fill>
      <patternFill patternType="none"/>
    </fill>
    <fill>
      <patternFill patternType="gray125"/>
    </fill>
    <fill>
      <patternFill patternType="solid">
        <fgColor rgb="351C75"/>
        <bgColor indexed="64"/>
      </patternFill>
    </fill>
    <fill>
      <patternFill patternType="solid">
        <fgColor rgb="FFFFFF"/>
        <bgColor indexed="64"/>
      </patternFill>
    </fill>
  </fills>
  <borders count="1">
    <border>
      <left>
        </left>
      <right>
        </right>
      <top>
        </top>
      <bottom>
        </bottom>
      <diagonal>
        </diagonal>
    </border>
  </borders>
  <cellXfs count="14">
    <xf numFmtId="0" fillId="0" fontId="0" borderId="0"/>
    <xf numFmtId="0" fillId="2" fontId="1" borderId="0" applyAlignment="1">
      <alignment vertical="center" horizontal="center"/>
    </xf>
    <xf numFmtId="0" fillId="2" fontId="1" borderId="0" applyAlignment="1">
      <alignment vertical="center" horizontal="center" wrapText="1"/>
    </xf>
    <xf numFmtId="0" fillId="2" fontId="2" borderId="0" applyAlignment="1">
      <alignment vertical="center" wrapText="1"/>
    </xf>
    <xf numFmtId="0" fillId="0" fontId="1" borderId="0"/>
    <xf numFmtId="0" fillId="0" fontId="3" borderId="0"/>
    <xf numFmtId="0" fillId="0" fontId="3" borderId="0" applyAlignment="1">
      <alignment vertical="center" horizontal="center" wrapText="1"/>
    </xf>
    <xf numFmtId="0" fillId="0" fontId="3" borderId="0" applyAlignment="1">
      <alignment vertical="center" horizontal="center"/>
    </xf>
    <xf numFmtId="0" fillId="3" fontId="3" borderId="0" applyAlignment="1">
      <alignment vertical="center" horizontal="center" wrapText="1"/>
    </xf>
    <xf numFmtId="49" fillId="0" fontId="3" borderId="0" applyAlignment="1">
      <alignment vertical="center" horizontal="center" wrapText="1"/>
    </xf>
    <xf numFmtId="0" fillId="0" fontId="3" borderId="0" applyAlignment="1">
      <alignment wrapText="1"/>
    </xf>
    <xf numFmtId="0" fillId="0" fontId="3" borderId="0" applyAlignment="1">
      <alignment vertical="center" wrapText="1"/>
    </xf>
    <xf numFmtId="164" fillId="0" fontId="3" borderId="0" applyAlignment="1">
      <alignment vertical="center" horizontal="center" wrapText="1"/>
    </xf>
    <xf numFmtId="165" fillId="0" fontId="3" borderId="0" applyAlignment="1">
      <alignment vertical="center" horizontal="center" wrapText="1"/>
    </xf>
  </cellXfs>
  <dxfs count="2">
    <dxf>
      <fill>
        <patternFill>
          <bgColor rgb="B6D7A8"/>
        </patternFill>
      </fill>
    </dxf>
    <dxf>
      <fill>
        <patternFill>
          <bgColor rgb="D9EAD3"/>
        </patternFill>
      </fill>
    </dxf>
  </dxfs>
</styleSheet>
</file>

<file path=xl/_rels/workbook.xml.rels><Relationships xmlns="http://schemas.openxmlformats.org/package/2006/relationships">
        
        <Relationship Id="rId1" Target="worksheets/sheet0.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metadata.xml" Type="http://schemas.openxmlformats.org/officeDocument/2006/relationships/sheetMetadata"/>
      
      </Relationships>
</file>

<file path=xl/tables/table1.xml><?xml version="1.0" encoding="utf-8"?>
<table xmlns="http://schemas.openxmlformats.org/spreadsheetml/2006/main" xmlns:xr="http://schemas.microsoft.com/office/spreadsheetml/2014/revision" xmlns:xr3="http://schemas.microsoft.com/office/spreadsheetml/2016/revision3" xmlns:mc="http://schemas.openxmlformats.org/markup-compatibility/2006" id="1" name="Table1" displayName="Table1" ref="A3:V102" headerRowCount="1" totalsRowCount="0">
  <autoFilter ref="A3:V102">
  </autoFilter>
  <tableColumns count="22">
    <tableColumn id="1" name="Fonds"/>
    <tableColumn id="2" name="Typologie"/>
    <tableColumn id="3" name="Entité"/>
    <tableColumn id="4" name="Contact"/>
    <tableColumn id="5" name="Contact Levée"/>
    <tableColumn id="6" name="Commentaire"/>
    <tableColumn id="7" name="Commentaire2"/>
    <tableColumn id="8" name="Commentaire3"/>
    <tableColumn id="9" name="Commentaire4"/>
    <tableColumn id="10" name="Activités"/>
    <tableColumn id="11" name="Étape"/>
    <tableColumn id="12" name="Intérêt"/>
    <tableColumn id="13" name="Date de dernière activité"/>
    <tableColumn id="14" name="Dernière activité"/>
    <tableColumn id="15" name="Date de prochaine activité"/>
    <tableColumn id="16" name="Prochaine activité"/>
    <tableColumn id="17" name="Revenu attendu"/>
    <tableColumn id="18" name="Ticket"/>
    <tableColumn id="19" name="% de Maturation"/>
    <tableColumn id="20" name="Matu."/>
    <tableColumn id="21" name="Tri"/>
    <tableColumn id="22" name="compteur"/>
  </tableColumns>
  <tableStyleInfo name="TableStyleLight9" showFirstColumn="0" showLastColumn="0" showRowStripes="1" showColumnStripes="0"/>
</table>
</file>

<file path=xl/worksheets/_rels/sheet0.xml.rels><Relationships xmlns="http://schemas.openxmlformats.org/package/2006/relationships">
        
        <Relationship Id="rId1" Target="../tables/table1.xml" Type="http://schemas.openxmlformats.org/officeDocument/2006/relationships/table"/>
      
      </Relationships>
</file>

<file path=xl/worksheets/sheet0.xml><?xml version="1.0" encoding="utf-8"?>
<worksheet xmlns="http://schemas.openxmlformats.org/spreadsheetml/2006/main" xmlns:r="http://schemas.openxmlformats.org/officeDocument/2006/relationships">
  <sheetViews>
    <sheetView showGridLines="1" workbookViewId="0">
      <pane ySplit="3" topLeftCell="A4" activePane="bottomLeft" state="frozen"/>
      <selection pane="bottomLeft"/>
    </sheetView>
  </sheetViews>
  <sheetFormatPr defaultRowHeight="17.25" defaultColWidth="13.73"/>
  <cols>
    <col min="1" max="1" width="27.89" customWidth="1" hidden="0"/>
    <col min="2" max="2" width="25.74" customWidth="1" hidden="0"/>
    <col min="3" max="3" width="39.47" customWidth="1" hidden="0"/>
    <col min="4" max="4" width="26.46" customWidth="1" hidden="0"/>
    <col min="5" max="5" width="17.16" customWidth="1" hidden="0"/>
    <col min="6" max="6" width="52.34" customWidth="1" hidden="1"/>
    <col min="7" max="7" width="52.34" customWidth="1" hidden="1"/>
    <col min="8" max="8" width="52.34" customWidth="1" hidden="1"/>
    <col min="9" max="9" width="52.34" customWidth="1" hidden="0"/>
    <col min="10" max="10" width="68.07" customWidth="1" hidden="1"/>
    <col min="11" max="11" width="25.31" customWidth="1" hidden="1"/>
    <col min="12" max="12" width="10.87" customWidth="1" hidden="0"/>
    <col min="13" max="13" width="25.31" customWidth="1" hidden="1"/>
    <col min="14" max="14" width="13.44" customWidth="1" hidden="0"/>
    <col min="15" max="15" width="25.31" customWidth="1" hidden="1"/>
    <col min="16" max="16" width="14.44" customWidth="1" hidden="0"/>
    <col min="17" max="17" width="15.16" customWidth="1" hidden="1"/>
    <col min="18" max="18" width="9.44" customWidth="1" hidden="0"/>
    <col min="19" max="19" width="20.02" customWidth="1" hidden="1"/>
    <col min="20" max="20" width="10.87" customWidth="1" hidden="0"/>
    <col min="21" max="21" width="15.16" customWidth="1" hidden="0"/>
    <col min="22" max="22" width="13.73" customWidth="1" hidden="1"/>
    <col min="23" max="23" width="13.73" customWidth="1" hidden="0"/>
    <col min="24" max="24" width="13.73" customWidth="1" hidden="0"/>
    <col min="25" max="25" width="13.73" customWidth="1" hidden="0"/>
    <col min="26" max="26" width="13.73" customWidth="1" hidden="0"/>
    <col min="27" max="27" width="13.73" customWidth="1" hidden="0"/>
    <col min="28" max="28" width="13.73" customWidth="1" hidden="0"/>
    <col min="29" max="29" width="13.73" customWidth="1" hidden="0"/>
    <col min="30" max="30" width="13.73" customWidth="1" hidden="0"/>
    <col min="31" max="31" width="13.73" customWidth="1" hidden="0"/>
    <col min="32" max="32" width="13.73" customWidth="1" hidden="0"/>
    <col min="33" max="33" width="13.73" customWidth="1" hidden="0"/>
    <col min="34" max="34" width="13.73" customWidth="1" hidden="0"/>
    <col min="35" max="35" width="13.73" customWidth="1" hidden="0"/>
    <col min="36" max="36" width="13.73" customWidth="1" hidden="0"/>
  </cols>
  <sheetData>
    <row r="1" ht="34.5" customHeight="1">
      <c r="A1" s="1">
</c>
      <c r="B1" s="1">
</c>
      <c r="C1" s="1">
</c>
      <c r="D1" s="2">
</c>
      <c r="E1" s="1">
</c>
      <c r="F1" s="1">
</c>
      <c r="G1" s="2">
</c>
      <c r="H1" s="1">
</c>
      <c r="I1" s="3" t="s">
        <v>0</v>
      </c>
      <c r="J1" s="1">
</c>
      <c r="K1" s="1">
</c>
      <c r="L1" s="1">
</c>
      <c r="M1" s="1">
</c>
      <c r="N1" s="3">
</c>
      <c r="O1" s="1">
</c>
      <c r="P1" s="2">
</c>
      <c r="Q1" s="1">
</c>
      <c r="R1" s="1">
</c>
      <c r="S1" s="1">
</c>
      <c r="T1" s="1">
</c>
      <c r="U1" s="2">
</c>
      <c r="V1" s="4">
</c>
      <c r="W1" s="4">
</c>
      <c r="X1" s="4">
</c>
      <c r="Y1" s="4">
</c>
      <c r="Z1" s="4">
</c>
      <c r="AA1" s="4">
</c>
      <c r="AB1" s="4">
</c>
      <c r="AC1" s="4">
</c>
      <c r="AD1" s="4">
</c>
      <c r="AE1" s="4">
</c>
      <c r="AF1" s="4">
</c>
      <c r="AG1" s="4">
</c>
      <c r="AH1" s="4">
</c>
      <c r="AI1" s="4">
</c>
      <c r="AJ1" s="4">
</c>
    </row>
    <row r="2" ht="34.5" customHeight="1">
      <c r="A2" s="5">
</c>
      <c r="B2" s="6">
</c>
      <c r="C2" s="7" cm="1" t="n">
        <f t="array" ref="C2">SUBTOTAL(9,V4:V102)</f>
        <v>15</v>
      </c>
      <c r="D2" s="5">
</c>
      <c r="E2" s="5">
</c>
      <c r="F2" s="5">
</c>
      <c r="G2" s="5">
</c>
      <c r="H2" s="5">
</c>
      <c r="I2" s="5">
</c>
      <c r="J2" s="5">
</c>
      <c r="K2" s="5">
</c>
      <c r="L2" s="5">
</c>
      <c r="M2" s="5">
</c>
      <c r="N2" s="5">
</c>
      <c r="O2" s="5">
</c>
      <c r="P2" s="5">
</c>
      <c r="Q2" s="8" cm="1" t="n">
        <f t="array" ref="Q2">SUBTOTAL(9,Q4:Q202)</f>
        <v>15750000</v>
      </c>
      <c r="R2" s="8" cm="1" t="str">
        <f t="array" ref="R2">ROUND(Q2/1000000,3)&amp;" M€"</f>
        <v>15.75 M€</v>
      </c>
      <c r="S2" s="5">
</c>
      <c r="T2" s="5">
</c>
      <c r="U2" s="5">
</c>
      <c r="V2" s="5">
</c>
      <c r="W2" s="5">
</c>
      <c r="X2" s="5">
</c>
      <c r="Y2" s="5">
</c>
      <c r="Z2" s="5">
</c>
      <c r="AA2" s="5">
</c>
      <c r="AB2" s="5">
</c>
      <c r="AC2" s="5">
</c>
      <c r="AD2" s="5">
</c>
      <c r="AE2" s="5">
</c>
      <c r="AF2" s="5">
</c>
      <c r="AG2" s="5">
</c>
      <c r="AH2" s="5">
</c>
      <c r="AI2" s="5">
</c>
      <c r="AJ2" s="5">
</c>
    </row>
    <row r="3" ht="34.5" customHeigh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4" t="s">
        <v>22</v>
      </c>
      <c r="W3" s="4">
</c>
      <c r="X3" s="4">
</c>
      <c r="Y3" s="4">
</c>
      <c r="Z3" s="4">
</c>
      <c r="AA3" s="4">
</c>
      <c r="AB3" s="4">
</c>
      <c r="AC3" s="4">
</c>
      <c r="AD3" s="4">
</c>
      <c r="AE3" s="4">
</c>
      <c r="AF3" s="4">
</c>
      <c r="AG3" s="4">
</c>
      <c r="AH3" s="4">
</c>
      <c r="AI3" s="4">
</c>
      <c r="AJ3" s="4">
</c>
    </row>
    <row r="4" ht="70.5" customHeight="1">
      <c r="A4" s="6" t="s">
        <v>23</v>
      </c>
      <c r="B4" s="6" t="s">
        <v>24</v>
      </c>
      <c r="C4" s="9" t="s">
        <v>25</v>
      </c>
      <c r="D4" s="9" t="s">
        <v>26</v>
      </c>
      <c r="E4" s="6" t="s">
        <v>27</v>
      </c>
      <c r="F4" s="5" t="s">
        <v>28</v>
      </c>
      <c r="G4" s="10" cm="1" t="str">
        <f t="array" ref="G4">IF(F4="","",SUBSTITUTE(SUBSTITUTE(SUBSTITUTE(SUBSTITUTE(F4,"&lt;li&gt;",CHAR(10)),"&lt;/li&gt;",""),"&lt;br&gt;",CHAR(10)),"&lt;strong&gt;",""))</f>
        <v>&lt;p&gt;Dernière action&amp;nbsp;: proposition d’un point d’actualité à Christophe Jennequin prévue le 08/01/2026 par Amaury Daignes. Aucun retour prospect ni échange significatif depuis la création de la piste. Prochaine étape&amp;nbsp;: organiser ce point d’actualité, pas d’autres actions ou conclusions notées.&lt;/p&gt;</v>
      </c>
      <c r="H4" s="10" cm="1" t="str">
        <f t="array" ref="H4">IF(G4="","",SUBSTITUTE(SUBSTITUTE(SUBSTITUTE(SUBSTITUTE(SUBSTITUTE(G4,"&lt;p&gt;",""),"&lt;/p&gt;",""),"&lt;ul&gt;",""),"&lt;/ul&gt;",""),"&lt;/strong&gt;",""))</f>
        <v>Dernière action&amp;nbsp;: proposition d’un point d’actualité à Christophe Jennequin prévue le 08/01/2026 par Amaury Daignes. Aucun retour prospect ni échange significatif depuis la création de la piste. Prochaine étape&amp;nbsp;: organiser ce point d’actualité, pas d’autres actions ou conclusions notées.</v>
      </c>
      <c r="I4" s="11" cm="1" t="str">
        <f t="array" ref="I4">IF(C4="","",IF(OR(H4="",H4=0,H4=FALSE),"-",H4))</f>
        <v>Dernière action&amp;nbsp;: proposition d’un point d’actualité à Christophe Jennequin prévue le 08/01/2026 par Amaury Daignes. Aucun retour prospect ni échange significatif depuis la création de la piste. Prochaine étape&amp;nbsp;: organiser ce point d’actualité, pas d’autres actions ou conclusions notées.</v>
      </c>
      <c r="J4" s="5" t="s">
        <v>29</v>
      </c>
      <c r="K4" s="6" t="s">
        <v>30</v>
      </c>
      <c r="L4" s="6" cm="1" t="str">
        <f t="array" ref="L4">IF(C4="","",IF(K4="Mort / Plus rien à faire","KO","OK"))</f>
        <v>OK</v>
      </c>
      <c r="M4" s="12">
        <v>45993.717997685184</v>
      </c>
      <c r="N4" s="12" cm="1" t="n">
        <f t="array" ref="N4">IF(OR(C4="",M4="",M4=0),"",M4)</f>
        <v>45993.717997685184</v>
      </c>
      <c r="O4" s="12">
</c>
      <c r="P4" s="12" cm="1" t="str">
        <f t="array" ref="P4">IF(C4="","",IF(OR(O4="",O4=0),"-",O4))</f>
        <v>-</v>
      </c>
      <c r="Q4" s="13">
        <v>750000</v>
      </c>
      <c r="R4" s="9" cm="1" t="str">
        <f t="array" ref="R4">IF(C4="","",ROUND(Q4/1000000,3)&amp;" M€")</f>
        <v>0.75 M€</v>
      </c>
      <c r="S4" s="9" t="s">
        <v>31</v>
      </c>
      <c r="T4" s="9" cm="1" t="str">
        <f t="array" ref="T4">IF(C4="","",SUBSTITUTE(S4,"","")&amp;"%")</f>
        <v>50%</v>
      </c>
      <c r="U4" s="6" cm="1" t="str">
        <f t="array" ref="U4">IF(($N4="")*($P4=""),"",IF(($N4&lt;&gt;"")*($N4&gt;TODAY()-9)*($N4&lt;TODAY()+1)*($P4&lt;&gt;"")*($P4&gt;=TODAY())*($P4&lt;=TODAY()+13),"Semaine passée &amp; à venir",IF(($N4&lt;&gt;"")*($N4&gt;TODAY()-9)*($N4&lt;TODAY()+1),"Semaine passée",IF(($P4&lt;&gt;"")*($P4&gt;=TODAY())*($P4&lt;=TODAY()+13),"À venir","Autre"))))</f>
        <v>Autre</v>
      </c>
      <c r="V4" s="5" cm="1" t="n">
        <f t="array" ref="V4">IF(C4&lt;&gt;"",1,0)</f>
        <v>1</v>
      </c>
      <c r="W4" s="5">
</c>
      <c r="X4" s="5">
</c>
      <c r="Y4" s="5">
</c>
      <c r="Z4" s="5">
</c>
      <c r="AA4" s="5">
</c>
      <c r="AB4" s="5">
</c>
      <c r="AC4" s="5">
</c>
      <c r="AD4" s="5">
</c>
      <c r="AE4" s="5">
</c>
      <c r="AF4" s="5">
</c>
      <c r="AG4" s="5">
</c>
      <c r="AH4" s="5">
</c>
      <c r="AI4" s="5">
</c>
      <c r="AJ4" s="5">
</c>
    </row>
    <row r="5" ht="70.5" customHeight="1">
      <c r="A5" s="6" t="s">
        <v>32</v>
      </c>
      <c r="B5" s="6" t="s">
        <v>33</v>
      </c>
      <c r="C5" s="9" t="s">
        <v>34</v>
      </c>
      <c r="D5" s="9" t="s">
        <v>35</v>
      </c>
      <c r="E5" s="6" t="s">
        <v>36</v>
      </c>
      <c r="F5" s="5" t="s">
        <v>37</v>
      </c>
      <c r="G5" s="10" cm="1" t="str">
        <f t="array" ref="G5">IF(F5="","",SUBSTITUTE(SUBSTITUTE(SUBSTITUTE(SUBSTITUTE(F5,"&lt;li&gt;",CHAR(10)),"&lt;/li&gt;",""),"&lt;br&gt;",CHAR(10)),"&lt;strong&gt;",""))</f>
        <v>&lt;p&gt;Aucune activité menée sur le prospect. Nouvelle piste créée pour l'équipe Ventes, aucun échange, action ou retour enregistré à ce jour. Pas de suivi, pas de prise de contact, pas de retour prospect, aucune prochaine étape identifiée. Suivi à initier.&lt;/p&gt;</v>
      </c>
      <c r="H5" s="10" cm="1" t="str">
        <f t="array" ref="H5">IF(G5="","",SUBSTITUTE(SUBSTITUTE(SUBSTITUTE(SUBSTITUTE(SUBSTITUTE(G5,"&lt;p&gt;",""),"&lt;/p&gt;",""),"&lt;ul&gt;",""),"&lt;/ul&gt;",""),"&lt;/strong&gt;",""))</f>
        <v>Aucune activité menée sur le prospect. Nouvelle piste créée pour l'équipe Ventes, aucun échange, action ou retour enregistré à ce jour. Pas de suivi, pas de prise de contact, pas de retour prospect, aucune prochaine étape identifiée. Suivi à initier.</v>
      </c>
      <c r="I5" s="11" cm="1" t="str">
        <f t="array" ref="I5">IF(C5="","",IF(OR(H5="",H5=0,H5=FALSE),"-",H5))</f>
        <v>Aucune activité menée sur le prospect. Nouvelle piste créée pour l'équipe Ventes, aucun échange, action ou retour enregistré à ce jour. Pas de suivi, pas de prise de contact, pas de retour prospect, aucune prochaine étape identifiée. Suivi à initier.</v>
      </c>
      <c r="J5" s="5">
</c>
      <c r="K5" s="6" t="s">
        <v>38</v>
      </c>
      <c r="L5" s="6" cm="1" t="str">
        <f t="array" ref="L5">IF(C5="","",IF(K5="Mort / Plus rien à faire","KO","OK"))</f>
        <v>OK</v>
      </c>
      <c r="M5" s="12">
        <v>46087.7025</v>
      </c>
      <c r="N5" s="12" cm="1" t="n">
        <f t="array" ref="N5">IF(OR(C5="",M5="",M5=0),"",M5)</f>
        <v>46087.7025</v>
      </c>
      <c r="O5" s="12">
</c>
      <c r="P5" s="12" cm="1" t="str">
        <f t="array" ref="P5">IF(C5="","",IF(OR(O5="",O5=0),"-",O5))</f>
        <v>-</v>
      </c>
      <c r="Q5" s="13">
        <v>0</v>
      </c>
      <c r="R5" s="9" cm="1" t="str">
        <f t="array" ref="R5">IF(C5="","",ROUND(Q5/1000000,3)&amp;" M€")</f>
        <v>0 M€</v>
      </c>
      <c r="S5" s="9" t="s">
        <v>39</v>
      </c>
      <c r="T5" s="9" cm="1" t="str">
        <f t="array" ref="T5">IF(C5="","",SUBSTITUTE(S5,"","")&amp;"%")</f>
        <v>10%</v>
      </c>
      <c r="U5" s="6" cm="1" t="str">
        <f t="array" ref="U5">IF(($N5="")*($P5=""),"",IF(($N5&lt;&gt;"")*($N5&gt;TODAY()-9)*($N5&lt;TODAY()+1)*($P5&lt;&gt;"")*($P5&gt;=TODAY())*($P5&lt;=TODAY()+13),"Semaine passée &amp; à venir",IF(($N5&lt;&gt;"")*($N5&gt;TODAY()-9)*($N5&lt;TODAY()+1),"Semaine passée",IF(($P5&lt;&gt;"")*($P5&gt;=TODAY())*($P5&lt;=TODAY()+13),"À venir","Autre"))))</f>
        <v>Semaine passée</v>
      </c>
      <c r="V5" s="5" cm="1" t="n">
        <f t="array" ref="V5">IF(C5&lt;&gt;"",1,0)</f>
        <v>1</v>
      </c>
      <c r="W5" s="5">
</c>
      <c r="X5" s="5">
</c>
      <c r="Y5" s="5">
</c>
      <c r="Z5" s="5">
</c>
      <c r="AA5" s="5">
</c>
      <c r="AB5" s="5">
</c>
      <c r="AC5" s="5">
</c>
      <c r="AD5" s="5">
</c>
      <c r="AE5" s="5">
</c>
      <c r="AF5" s="5">
</c>
      <c r="AG5" s="5">
</c>
      <c r="AH5" s="5">
</c>
      <c r="AI5" s="5">
</c>
      <c r="AJ5" s="5">
</c>
    </row>
    <row r="6" ht="70.5" customHeight="1">
      <c r="A6" s="6" t="s">
        <v>23</v>
      </c>
      <c r="B6" s="6" t="s">
        <v>40</v>
      </c>
      <c r="C6" s="9" t="s">
        <v>41</v>
      </c>
      <c r="D6" s="9" t="s">
        <v>42</v>
      </c>
      <c r="E6" s="6" t="s">
        <v>43</v>
      </c>
      <c r="F6" s="5" t="s">
        <v>44</v>
      </c>
      <c r="G6" s="10" cm="1" t="str">
        <f t="array" ref="G6">IF(F6="","",SUBSTITUTE(SUBSTITUTE(SUBSTITUTE(SUBSTITUTE(F6,"&lt;li&gt;",CHAR(10)),"&lt;/li&gt;",""),"&lt;br&gt;",CHAR(10)),"&lt;strong&gt;",""))</f>
        <v>&lt;p&gt;Aucune activité significative menée sur ce prospect. Uniquement création d'une nouvelle piste pour l'équipe Ventes, sans suivi, échange ou action complémentaire enregistrée à ce jour. Pas de retour ni d'étape future planifiée. Aucun avis ou conclusion du prospect mentionné.&lt;/p&gt;</v>
      </c>
      <c r="H6" s="10" cm="1" t="str">
        <f t="array" ref="H6">IF(G6="","",SUBSTITUTE(SUBSTITUTE(SUBSTITUTE(SUBSTITUTE(SUBSTITUTE(G6,"&lt;p&gt;",""),"&lt;/p&gt;",""),"&lt;ul&gt;",""),"&lt;/ul&gt;",""),"&lt;/strong&gt;",""))</f>
        <v>Aucune activité significative menée sur ce prospect. Uniquement création d'une nouvelle piste pour l'équipe Ventes, sans suivi, échange ou action complémentaire enregistrée à ce jour. Pas de retour ni d'étape future planifiée. Aucun avis ou conclusion du prospect mentionné.</v>
      </c>
      <c r="I6" s="11" cm="1" t="str">
        <f t="array" ref="I6">IF(C6="","",IF(OR(H6="",H6=0,H6=FALSE),"-",H6))</f>
        <v>Aucune activité significative menée sur ce prospect. Uniquement création d'une nouvelle piste pour l'équipe Ventes, sans suivi, échange ou action complémentaire enregistrée à ce jour. Pas de retour ni d'étape future planifiée. Aucun avis ou conclusion du prospect mentionné.</v>
      </c>
      <c r="J6" s="5">
</c>
      <c r="K6" s="6" t="s">
        <v>38</v>
      </c>
      <c r="L6" s="6" cm="1" t="str">
        <f t="array" ref="L6">IF(C6="","",IF(K6="Mort / Plus rien à faire","KO","OK"))</f>
        <v>OK</v>
      </c>
      <c r="M6" s="12">
        <v>46083.46849537037</v>
      </c>
      <c r="N6" s="12" cm="1" t="n">
        <f t="array" ref="N6">IF(OR(C6="",M6="",M6=0),"",M6)</f>
        <v>46083.46849537037</v>
      </c>
      <c r="O6" s="12">
</c>
      <c r="P6" s="12" cm="1" t="str">
        <f t="array" ref="P6">IF(C6="","",IF(OR(O6="",O6=0),"-",O6))</f>
        <v>-</v>
      </c>
      <c r="Q6" s="13">
        <v>0</v>
      </c>
      <c r="R6" s="9" cm="1" t="str">
        <f t="array" ref="R6">IF(C6="","",ROUND(Q6/1000000,3)&amp;" M€")</f>
        <v>0 M€</v>
      </c>
      <c r="S6" s="9" t="s">
        <v>39</v>
      </c>
      <c r="T6" s="9" cm="1" t="str">
        <f t="array" ref="T6">IF(C6="","",SUBSTITUTE(S6,"","")&amp;"%")</f>
        <v>10%</v>
      </c>
      <c r="U6" s="6" cm="1" t="str">
        <f t="array" ref="U6">IF(($N6="")*($P6=""),"",IF(($N6&lt;&gt;"")*($N6&gt;TODAY()-9)*($N6&lt;TODAY()+1)*($P6&lt;&gt;"")*($P6&gt;=TODAY())*($P6&lt;=TODAY()+13),"Semaine passée &amp; à venir",IF(($N6&lt;&gt;"")*($N6&gt;TODAY()-9)*($N6&lt;TODAY()+1),"Semaine passée",IF(($P6&lt;&gt;"")*($P6&gt;=TODAY())*($P6&lt;=TODAY()+13),"À venir","Autre"))))</f>
        <v>Semaine passée</v>
      </c>
      <c r="V6" s="5" cm="1" t="n">
        <f t="array" ref="V6">IF(C6&lt;&gt;"",1,0)</f>
        <v>1</v>
      </c>
      <c r="W6" s="5">
</c>
      <c r="X6" s="5">
</c>
      <c r="Y6" s="5">
</c>
      <c r="Z6" s="5">
</c>
      <c r="AA6" s="5">
</c>
      <c r="AB6" s="5">
</c>
      <c r="AC6" s="5">
</c>
      <c r="AD6" s="5">
</c>
      <c r="AE6" s="5">
</c>
      <c r="AF6" s="5">
</c>
      <c r="AG6" s="5">
</c>
      <c r="AH6" s="5">
</c>
      <c r="AI6" s="5">
</c>
      <c r="AJ6" s="5">
</c>
    </row>
    <row r="7" ht="70.5" customHeight="1">
      <c r="A7" s="6" t="s">
        <v>32</v>
      </c>
      <c r="B7" s="6" t="s">
        <v>45</v>
      </c>
      <c r="C7" s="9" t="s">
        <v>46</v>
      </c>
      <c r="D7" s="9" t="s">
        <v>47</v>
      </c>
      <c r="E7" s="6" t="s">
        <v>36</v>
      </c>
      <c r="F7" s="5" t="s">
        <v>48</v>
      </c>
      <c r="G7" s="10" cm="1" t="str">
        <f t="array" ref="G7">IF(F7="","",SUBSTITUTE(SUBSTITUTE(SUBSTITUTE(SUBSTITUTE(F7,"&lt;li&gt;",CHAR(10)),"&lt;/li&gt;",""),"&lt;br&gt;",CHAR(10)),"&lt;strong&gt;",""))</f>
        <v>&lt;p&gt;Aucune activité ou échange significatif enregistré sur l'opportunité Mapfre. Aucun suivi, aucune interaction ni action récente. Infos prospect : Mapfre, grand groupe d'assurance international, présent dans 40+ pays, 30 000 employés, solutions assurance/réassurance/gestion d'actifs.&lt;/p&gt;</v>
      </c>
      <c r="H7" s="10" cm="1" t="str">
        <f t="array" ref="H7">IF(G7="","",SUBSTITUTE(SUBSTITUTE(SUBSTITUTE(SUBSTITUTE(SUBSTITUTE(G7,"&lt;p&gt;",""),"&lt;/p&gt;",""),"&lt;ul&gt;",""),"&lt;/ul&gt;",""),"&lt;/strong&gt;",""))</f>
        <v>Aucune activité ou échange significatif enregistré sur l'opportunité Mapfre. Aucun suivi, aucune interaction ni action récente. Infos prospect : Mapfre, grand groupe d'assurance international, présent dans 40+ pays, 30 000 employés, solutions assurance/réassurance/gestion d'actifs.</v>
      </c>
      <c r="I7" s="11" cm="1" t="str">
        <f t="array" ref="I7">IF(C7="","",IF(OR(H7="",H7=0,H7=FALSE),"-",H7))</f>
        <v>Aucune activité ou échange significatif enregistré sur l'opportunité Mapfre. Aucun suivi, aucune interaction ni action récente. Infos prospect : Mapfre, grand groupe d'assurance international, présent dans 40+ pays, 30 000 employés, solutions assurance/réassurance/gestion d'actifs.</v>
      </c>
      <c r="J7" s="5">
</c>
      <c r="K7" s="6" t="s">
        <v>38</v>
      </c>
      <c r="L7" s="6" cm="1" t="str">
        <f t="array" ref="L7">IF(C7="","",IF(K7="Mort / Plus rien à faire","KO","OK"))</f>
        <v>OK</v>
      </c>
      <c r="M7" s="12">
        <v>46013.68800925926</v>
      </c>
      <c r="N7" s="12" cm="1" t="n">
        <f t="array" ref="N7">IF(OR(C7="",M7="",M7=0),"",M7)</f>
        <v>46013.68800925926</v>
      </c>
      <c r="O7" s="12">
</c>
      <c r="P7" s="12" cm="1" t="str">
        <f t="array" ref="P7">IF(C7="","",IF(OR(O7="",O7=0),"-",O7))</f>
        <v>-</v>
      </c>
      <c r="Q7" s="13">
        <v>0</v>
      </c>
      <c r="R7" s="9" cm="1" t="str">
        <f t="array" ref="R7">IF(C7="","",ROUND(Q7/1000000,3)&amp;" M€")</f>
        <v>0 M€</v>
      </c>
      <c r="S7" s="9" t="s">
        <v>39</v>
      </c>
      <c r="T7" s="9" cm="1" t="str">
        <f t="array" ref="T7">IF(C7="","",SUBSTITUTE(S7,"","")&amp;"%")</f>
        <v>10%</v>
      </c>
      <c r="U7" s="6" cm="1" t="str">
        <f t="array" ref="U7">IF(($N7="")*($P7=""),"",IF(($N7&lt;&gt;"")*($N7&gt;TODAY()-9)*($N7&lt;TODAY()+1)*($P7&lt;&gt;"")*($P7&gt;=TODAY())*($P7&lt;=TODAY()+13),"Semaine passée &amp; à venir",IF(($N7&lt;&gt;"")*($N7&gt;TODAY()-9)*($N7&lt;TODAY()+1),"Semaine passée",IF(($P7&lt;&gt;"")*($P7&gt;=TODAY())*($P7&lt;=TODAY()+13),"À venir","Autre"))))</f>
        <v>Autre</v>
      </c>
      <c r="V7" s="5" cm="1" t="n">
        <f t="array" ref="V7">IF(C7&lt;&gt;"",1,0)</f>
        <v>1</v>
      </c>
      <c r="W7" s="5">
</c>
      <c r="X7" s="5">
</c>
      <c r="Y7" s="5">
</c>
      <c r="Z7" s="5">
</c>
      <c r="AA7" s="5">
</c>
      <c r="AB7" s="5">
</c>
      <c r="AC7" s="5">
</c>
      <c r="AD7" s="5">
</c>
      <c r="AE7" s="5">
</c>
      <c r="AF7" s="5">
</c>
      <c r="AG7" s="5">
</c>
      <c r="AH7" s="5">
</c>
      <c r="AI7" s="5">
</c>
      <c r="AJ7" s="5">
</c>
    </row>
    <row r="8" ht="70.5" customHeight="1">
      <c r="A8" s="6" t="s">
        <v>32</v>
      </c>
      <c r="B8" s="6" t="s">
        <v>24</v>
      </c>
      <c r="C8" s="9" t="s">
        <v>49</v>
      </c>
      <c r="D8" s="9" t="s">
        <v>50</v>
      </c>
      <c r="E8" s="6" t="s">
        <v>36</v>
      </c>
      <c r="F8" s="5" t="s">
        <v>51</v>
      </c>
      <c r="G8" s="10" cm="1" t="str">
        <f t="array" ref="G8">IF(F8="","",SUBSTITUTE(SUBSTITUTE(SUBSTITUTE(SUBSTITUTE(F8,"&lt;li&gt;",CHAR(10)),"&lt;/li&gt;",""),"&lt;br&gt;",CHAR(10)),"&lt;strong&gt;",""))</f>
        <v>&lt;p&gt;Nouvelle piste créée pour UBS, équipe Ventes. Dernière action : planification d'un échange pour EXERGON, question sur la capacité à traiter. Prochaine étape : organiser RDV pour clarifier la capacité EXERGON. Aucun retour prospect ni conclusion sur fonds à ce stade. Responsable : Romain Andrieu.&lt;/p&gt;</v>
      </c>
      <c r="H8" s="10" cm="1" t="str">
        <f t="array" ref="H8">IF(G8="","",SUBSTITUTE(SUBSTITUTE(SUBSTITUTE(SUBSTITUTE(SUBSTITUTE(G8,"&lt;p&gt;",""),"&lt;/p&gt;",""),"&lt;ul&gt;",""),"&lt;/ul&gt;",""),"&lt;/strong&gt;",""))</f>
        <v>Nouvelle piste créée pour UBS, équipe Ventes. Dernière action : planification d'un échange pour EXERGON, question sur la capacité à traiter. Prochaine étape : organiser RDV pour clarifier la capacité EXERGON. Aucun retour prospect ni conclusion sur fonds à ce stade. Responsable : Romain Andrieu.</v>
      </c>
      <c r="I8" s="11" cm="1" t="str">
        <f t="array" ref="I8">IF(C8="","",IF(OR(H8="",H8=0,H8=FALSE),"-",H8))</f>
        <v>Nouvelle piste créée pour UBS, équipe Ventes. Dernière action : planification d'un échange pour EXERGON, question sur la capacité à traiter. Prochaine étape : organiser RDV pour clarifier la capacité EXERGON. Aucun retour prospect ni conclusion sur fonds à ce stade. Responsable : Romain Andrieu.</v>
      </c>
      <c r="J8" s="5" t="s">
        <v>52</v>
      </c>
      <c r="K8" s="6" t="s">
        <v>38</v>
      </c>
      <c r="L8" s="6" cm="1" t="str">
        <f t="array" ref="L8">IF(C8="","",IF(K8="Mort / Plus rien à faire","KO","OK"))</f>
        <v>OK</v>
      </c>
      <c r="M8" s="12">
        <v>46087.71839120371</v>
      </c>
      <c r="N8" s="12" cm="1" t="n">
        <f t="array" ref="N8">IF(OR(C8="",M8="",M8=0),"",M8)</f>
        <v>46087.71839120371</v>
      </c>
      <c r="O8" s="12">
</c>
      <c r="P8" s="12" cm="1" t="str">
        <f t="array" ref="P8">IF(C8="","",IF(OR(O8="",O8=0),"-",O8))</f>
        <v>-</v>
      </c>
      <c r="Q8" s="13">
        <v>0</v>
      </c>
      <c r="R8" s="9" cm="1" t="str">
        <f t="array" ref="R8">IF(C8="","",ROUND(Q8/1000000,3)&amp;" M€")</f>
        <v>0 M€</v>
      </c>
      <c r="S8" s="9" t="s">
        <v>39</v>
      </c>
      <c r="T8" s="9" cm="1" t="str">
        <f t="array" ref="T8">IF(C8="","",SUBSTITUTE(S8,"","")&amp;"%")</f>
        <v>10%</v>
      </c>
      <c r="U8" s="6" cm="1" t="str">
        <f t="array" ref="U8">IF(($N8="")*($P8=""),"",IF(($N8&lt;&gt;"")*($N8&gt;TODAY()-9)*($N8&lt;TODAY()+1)*($P8&lt;&gt;"")*($P8&gt;=TODAY())*($P8&lt;=TODAY()+13),"Semaine passée &amp; à venir",IF(($N8&lt;&gt;"")*($N8&gt;TODAY()-9)*($N8&lt;TODAY()+1),"Semaine passée",IF(($P8&lt;&gt;"")*($P8&gt;=TODAY())*($P8&lt;=TODAY()+13),"À venir","Autre"))))</f>
        <v>Semaine passée</v>
      </c>
      <c r="V8" s="5" cm="1" t="n">
        <f t="array" ref="V8">IF(C8&lt;&gt;"",1,0)</f>
        <v>1</v>
      </c>
      <c r="W8" s="5">
</c>
      <c r="X8" s="5">
</c>
      <c r="Y8" s="5">
</c>
      <c r="Z8" s="5">
</c>
      <c r="AA8" s="5">
</c>
      <c r="AB8" s="5">
</c>
      <c r="AC8" s="5">
</c>
      <c r="AD8" s="5">
</c>
      <c r="AE8" s="5">
</c>
      <c r="AF8" s="5">
</c>
      <c r="AG8" s="5">
</c>
      <c r="AH8" s="5">
</c>
      <c r="AI8" s="5">
</c>
      <c r="AJ8" s="5">
</c>
    </row>
    <row r="9" ht="70.5" customHeight="1">
      <c r="A9" s="6" t="s">
        <v>32</v>
      </c>
      <c r="B9" s="6" t="s">
        <v>53</v>
      </c>
      <c r="C9" s="9" t="s">
        <v>54</v>
      </c>
      <c r="D9" s="9" t="s">
        <v>55</v>
      </c>
      <c r="E9" s="6" t="s">
        <v>36</v>
      </c>
      <c r="F9" s="5" t="s">
        <v>56</v>
      </c>
      <c r="G9" s="10" cm="1" t="str">
        <f t="array" ref="G9">IF(F9="","",SUBSTITUTE(SUBSTITUTE(SUBSTITUTE(SUBSTITUTE(F9,"&lt;li&gt;",CHAR(10)),"&lt;/li&gt;",""),"&lt;br&gt;",CHAR(10)),"&lt;strong&gt;",""))</f>
        <v>&lt;p&gt;18/12/2025 : Visio OPF-EXERGON, OPF retient Exergon, abandonne Expansion/Calderion. Préférence buyout direct, Seed trop tôt, Serie A/B possible plus tard. Prochaine étape : relance OPF pour Exergon lors du roadshow 9-12/02/2026. Spatial jugé trop lointain, VC/PE direct nordique ok.&lt;/p&gt;</v>
      </c>
      <c r="H9" s="10" cm="1" t="str">
        <f t="array" ref="H9">IF(G9="","",SUBSTITUTE(SUBSTITUTE(SUBSTITUTE(SUBSTITUTE(SUBSTITUTE(G9,"&lt;p&gt;",""),"&lt;/p&gt;",""),"&lt;ul&gt;",""),"&lt;/ul&gt;",""),"&lt;/strong&gt;",""))</f>
        <v>18/12/2025 : Visio OPF-EXERGON, OPF retient Exergon, abandonne Expansion/Calderion. Préférence buyout direct, Seed trop tôt, Serie A/B possible plus tard. Prochaine étape : relance OPF pour Exergon lors du roadshow 9-12/02/2026. Spatial jugé trop lointain, VC/PE direct nordique ok.</v>
      </c>
      <c r="I9" s="11" cm="1" t="str">
        <f t="array" ref="I9">IF(C9="","",IF(OR(H9="",H9=0,H9=FALSE),"-",H9))</f>
        <v>18/12/2025 : Visio OPF-EXERGON, OPF retient Exergon, abandonne Expansion/Calderion. Préférence buyout direct, Seed trop tôt, Serie A/B possible plus tard. Prochaine étape : relance OPF pour Exergon lors du roadshow 9-12/02/2026. Spatial jugé trop lointain, VC/PE direct nordique ok.</v>
      </c>
      <c r="J9" s="5" t="s">
        <v>57</v>
      </c>
      <c r="K9" s="6" t="s">
        <v>58</v>
      </c>
      <c r="L9" s="6" cm="1" t="str">
        <f t="array" ref="L9">IF(C9="","",IF(K9="Mort / Plus rien à faire","KO","OK"))</f>
        <v>OK</v>
      </c>
      <c r="M9" s="12">
        <v>46087.72201388889</v>
      </c>
      <c r="N9" s="12" cm="1" t="n">
        <f t="array" ref="N9">IF(OR(C9="",M9="",M9=0),"",M9)</f>
        <v>46087.72201388889</v>
      </c>
      <c r="O9" s="12">
        <v>46081.041666666664</v>
      </c>
      <c r="P9" s="12" cm="1" t="n">
        <f t="array" ref="P9">IF(C9="","",IF(OR(O9="",O9=0),"-",O9))</f>
        <v>46081.041666666664</v>
      </c>
      <c r="Q9" s="13">
        <v>15000000</v>
      </c>
      <c r="R9" s="9" cm="1" t="str">
        <f t="array" ref="R9">IF(C9="","",ROUND(Q9/1000000,3)&amp;" M€")</f>
        <v>15 M€</v>
      </c>
      <c r="S9" s="9" t="s">
        <v>39</v>
      </c>
      <c r="T9" s="9" cm="1" t="str">
        <f t="array" ref="T9">IF(C9="","",SUBSTITUTE(S9,"","")&amp;"%")</f>
        <v>10%</v>
      </c>
      <c r="U9" s="6" cm="1" t="str">
        <f t="array" ref="U9">IF(($N9="")*($P9=""),"",IF(($N9&lt;&gt;"")*($N9&gt;TODAY()-9)*($N9&lt;TODAY()+1)*($P9&lt;&gt;"")*($P9&gt;=TODAY())*($P9&lt;=TODAY()+13),"Semaine passée &amp; à venir",IF(($N9&lt;&gt;"")*($N9&gt;TODAY()-9)*($N9&lt;TODAY()+1),"Semaine passée",IF(($P9&lt;&gt;"")*($P9&gt;=TODAY())*($P9&lt;=TODAY()+13),"À venir","Autre"))))</f>
        <v>Semaine passée</v>
      </c>
      <c r="V9" s="5" cm="1" t="n">
        <f t="array" ref="V9">IF(C9&lt;&gt;"",1,0)</f>
        <v>1</v>
      </c>
      <c r="W9" s="5">
</c>
      <c r="X9" s="5">
</c>
      <c r="Y9" s="5">
</c>
      <c r="Z9" s="5">
</c>
      <c r="AA9" s="5">
</c>
      <c r="AB9" s="5">
</c>
      <c r="AC9" s="5">
</c>
      <c r="AD9" s="5">
</c>
      <c r="AE9" s="5">
</c>
      <c r="AF9" s="5">
</c>
      <c r="AG9" s="5">
</c>
      <c r="AH9" s="5">
</c>
      <c r="AI9" s="5">
</c>
      <c r="AJ9" s="5">
</c>
    </row>
    <row r="10" ht="70.5" customHeight="1">
      <c r="A10" s="6" t="s">
        <v>32</v>
      </c>
      <c r="B10" s="6" t="s">
        <v>45</v>
      </c>
      <c r="C10" s="9" t="s">
        <v>59</v>
      </c>
      <c r="D10" s="9" t="s">
        <v>60</v>
      </c>
      <c r="E10" s="6" t="s">
        <v>36</v>
      </c>
      <c r="F10" s="5" t="s">
        <v>61</v>
      </c>
      <c r="G10" s="10" cm="1" t="str">
        <f t="array" ref="G10">IF(F10="","",SUBSTITUTE(SUBSTITUTE(SUBSTITUTE(SUBSTITUTE(F10,"&lt;li&gt;",CHAR(10)),"&lt;/li&gt;",""),"&lt;br&gt;",CHAR(10)),"&lt;strong&gt;",""))</f>
        <v>&lt;p&gt;Aucune activité récente ni échange spécifique détecté avec MONCEAU GENERALE ASSURANCES. Nouvelle piste créée pour équipe Ventes, aucun suivi ou interaction supplémentaire relevé. Pas de retour prospect, pas d'étape à venir identifiée. Infos générales : acteur assurance, présence historique France.&lt;/p&gt;</v>
      </c>
      <c r="H10" s="10" cm="1" t="str">
        <f t="array" ref="H10">IF(G10="","",SUBSTITUTE(SUBSTITUTE(SUBSTITUTE(SUBSTITUTE(SUBSTITUTE(G10,"&lt;p&gt;",""),"&lt;/p&gt;",""),"&lt;ul&gt;",""),"&lt;/ul&gt;",""),"&lt;/strong&gt;",""))</f>
        <v>Aucune activité récente ni échange spécifique détecté avec MONCEAU GENERALE ASSURANCES. Nouvelle piste créée pour équipe Ventes, aucun suivi ou interaction supplémentaire relevé. Pas de retour prospect, pas d'étape à venir identifiée. Infos générales : acteur assurance, présence historique France.</v>
      </c>
      <c r="I10" s="11" cm="1" t="str">
        <f t="array" ref="I10">IF(C10="","",IF(OR(H10="",H10=0,H10=FALSE),"-",H10))</f>
        <v>Aucune activité récente ni échange spécifique détecté avec MONCEAU GENERALE ASSURANCES. Nouvelle piste créée pour équipe Ventes, aucun suivi ou interaction supplémentaire relevé. Pas de retour prospect, pas d'étape à venir identifiée. Infos générales : acteur assurance, présence historique France.</v>
      </c>
      <c r="J10" s="5">
</c>
      <c r="K10" s="6" t="s">
        <v>38</v>
      </c>
      <c r="L10" s="6" cm="1" t="str">
        <f t="array" ref="L10">IF(C10="","",IF(K10="Mort / Plus rien à faire","KO","OK"))</f>
        <v>OK</v>
      </c>
      <c r="M10" s="12">
        <v>46028.560266203705</v>
      </c>
      <c r="N10" s="12" cm="1" t="n">
        <f t="array" ref="N10">IF(OR(C10="",M10="",M10=0),"",M10)</f>
        <v>46028.560266203705</v>
      </c>
      <c r="O10" s="12">
</c>
      <c r="P10" s="12" cm="1" t="str">
        <f t="array" ref="P10">IF(C10="","",IF(OR(O10="",O10=0),"-",O10))</f>
        <v>-</v>
      </c>
      <c r="Q10" s="13">
        <v>0</v>
      </c>
      <c r="R10" s="9" cm="1" t="str">
        <f t="array" ref="R10">IF(C10="","",ROUND(Q10/1000000,3)&amp;" M€")</f>
        <v>0 M€</v>
      </c>
      <c r="S10" s="9" t="s">
        <v>39</v>
      </c>
      <c r="T10" s="9" cm="1" t="str">
        <f t="array" ref="T10">IF(C10="","",SUBSTITUTE(S10,"","")&amp;"%")</f>
        <v>10%</v>
      </c>
      <c r="U10" s="6" cm="1" t="str">
        <f t="array" ref="U10">IF(($N10="")*($P10=""),"",IF(($N10&lt;&gt;"")*($N10&gt;TODAY()-9)*($N10&lt;TODAY()+1)*($P10&lt;&gt;"")*($P10&gt;=TODAY())*($P10&lt;=TODAY()+13),"Semaine passée &amp; à venir",IF(($N10&lt;&gt;"")*($N10&gt;TODAY()-9)*($N10&lt;TODAY()+1),"Semaine passée",IF(($P10&lt;&gt;"")*($P10&gt;=TODAY())*($P10&lt;=TODAY()+13),"À venir","Autre"))))</f>
        <v>Autre</v>
      </c>
      <c r="V10" s="5" cm="1" t="n">
        <f t="array" ref="V10">IF(C10&lt;&gt;"",1,0)</f>
        <v>1</v>
      </c>
      <c r="W10" s="5">
</c>
      <c r="X10" s="5">
</c>
      <c r="Y10" s="5">
</c>
      <c r="Z10" s="5">
</c>
      <c r="AA10" s="5">
</c>
      <c r="AB10" s="5">
</c>
      <c r="AC10" s="5">
</c>
      <c r="AD10" s="5">
</c>
      <c r="AE10" s="5">
</c>
      <c r="AF10" s="5">
</c>
      <c r="AG10" s="5">
</c>
      <c r="AH10" s="5">
</c>
      <c r="AI10" s="5">
</c>
      <c r="AJ10" s="5">
</c>
    </row>
    <row r="11" ht="70.5" customHeight="1">
      <c r="A11" s="6" t="s">
        <v>32</v>
      </c>
      <c r="B11" s="6" t="s">
        <v>62</v>
      </c>
      <c r="C11" s="9" t="s">
        <v>63</v>
      </c>
      <c r="D11" s="9" t="s">
        <v>64</v>
      </c>
      <c r="E11" s="6" t="s">
        <v>65</v>
      </c>
      <c r="F11" s="5">
</c>
      <c r="G11" s="10" cm="1" t="str">
        <f t="array" ref="G11">IF(F11="","",SUBSTITUTE(SUBSTITUTE(SUBSTITUTE(SUBSTITUTE(F11,"&lt;li&gt;",CHAR(10)),"&lt;/li&gt;",""),"&lt;br&gt;",CHAR(10)),"&lt;strong&gt;",""))</f>
        <v/>
      </c>
      <c r="H11" s="10" cm="1" t="str">
        <f t="array" ref="H11">IF(G11="","",SUBSTITUTE(SUBSTITUTE(SUBSTITUTE(SUBSTITUTE(SUBSTITUTE(G11,"&lt;p&gt;",""),"&lt;/p&gt;",""),"&lt;ul&gt;",""),"&lt;/ul&gt;",""),"&lt;/strong&gt;",""))</f>
        <v/>
      </c>
      <c r="I11" s="11" cm="1" t="str">
        <f t="array" ref="I11">IF(C11="","",IF(OR(H11="",H11=0,H11=FALSE),"-",H11))</f>
        <v>-</v>
      </c>
      <c r="J11" s="5" t="s">
        <v>66</v>
      </c>
      <c r="K11" s="6" t="s">
        <v>58</v>
      </c>
      <c r="L11" s="6" cm="1" t="str">
        <f t="array" ref="L11">IF(C11="","",IF(K11="Mort / Plus rien à faire","KO","OK"))</f>
        <v>OK</v>
      </c>
      <c r="M11" s="12">
        <v>46063.47607638889</v>
      </c>
      <c r="N11" s="12" cm="1" t="n">
        <f t="array" ref="N11">IF(OR(C11="",M11="",M11=0),"",M11)</f>
        <v>46063.47607638889</v>
      </c>
      <c r="O11" s="12">
</c>
      <c r="P11" s="12" cm="1" t="str">
        <f t="array" ref="P11">IF(C11="","",IF(OR(O11="",O11=0),"-",O11))</f>
        <v>-</v>
      </c>
      <c r="Q11" s="13">
        <v>0</v>
      </c>
      <c r="R11" s="9" cm="1" t="str">
        <f t="array" ref="R11">IF(C11="","",ROUND(Q11/1000000,3)&amp;" M€")</f>
        <v>0 M€</v>
      </c>
      <c r="S11" s="9" t="s">
        <v>39</v>
      </c>
      <c r="T11" s="9" cm="1" t="str">
        <f t="array" ref="T11">IF(C11="","",SUBSTITUTE(S11,"","")&amp;"%")</f>
        <v>10%</v>
      </c>
      <c r="U11" s="6" cm="1" t="str">
        <f t="array" ref="U11">IF(($N11="")*($P11=""),"",IF(($N11&lt;&gt;"")*($N11&gt;TODAY()-9)*($N11&lt;TODAY()+1)*($P11&lt;&gt;"")*($P11&gt;=TODAY())*($P11&lt;=TODAY()+13),"Semaine passée &amp; à venir",IF(($N11&lt;&gt;"")*($N11&gt;TODAY()-9)*($N11&lt;TODAY()+1),"Semaine passée",IF(($P11&lt;&gt;"")*($P11&gt;=TODAY())*($P11&lt;=TODAY()+13),"À venir","Autre"))))</f>
        <v>Autre</v>
      </c>
      <c r="V11" s="5" cm="1" t="n">
        <f t="array" ref="V11">IF(C11&lt;&gt;"",1,0)</f>
        <v>1</v>
      </c>
      <c r="W11" s="5">
</c>
      <c r="X11" s="5">
</c>
      <c r="Y11" s="5">
</c>
      <c r="Z11" s="5">
</c>
      <c r="AA11" s="5">
</c>
      <c r="AB11" s="5">
</c>
      <c r="AC11" s="5">
</c>
      <c r="AD11" s="5">
</c>
      <c r="AE11" s="5">
</c>
      <c r="AF11" s="5">
</c>
      <c r="AG11" s="5">
</c>
      <c r="AH11" s="5">
</c>
      <c r="AI11" s="5">
</c>
      <c r="AJ11" s="5">
</c>
    </row>
    <row r="12" ht="70.5" customHeight="1">
      <c r="A12" s="6" t="s">
        <v>32</v>
      </c>
      <c r="B12" s="6" t="s">
        <v>45</v>
      </c>
      <c r="C12" s="9" t="s">
        <v>67</v>
      </c>
      <c r="D12" s="9" t="s">
        <v>68</v>
      </c>
      <c r="E12" s="6" t="s">
        <v>36</v>
      </c>
      <c r="F12" s="5" t="s">
        <v>69</v>
      </c>
      <c r="G12" s="10" cm="1" t="str">
        <f t="array" ref="G12">IF(F12="","",SUBSTITUTE(SUBSTITUTE(SUBSTITUTE(SUBSTITUTE(F12,"&lt;li&gt;",CHAR(10)),"&lt;/li&gt;",""),"&lt;br&gt;",CHAR(10)),"&lt;strong&gt;",""))</f>
        <v>&lt;p&gt;25/09/2025 : rdv CB avec Julien Carmona (DG ARKEA), Stéphanie Coulon Renouvel reprend le dossier (fonds de fonds). Priorité ARKEA : Spatial, fort intérêt territoire. Préparation réunion stratégique Straton&amp;lt;&amp;gt;SLPE Expansion. Prochaine échéance : 14/01/2026. Pas d'autres actions récentes.&lt;/p&gt;</v>
      </c>
      <c r="H12" s="10" cm="1" t="str">
        <f t="array" ref="H12">IF(G12="","",SUBSTITUTE(SUBSTITUTE(SUBSTITUTE(SUBSTITUTE(SUBSTITUTE(G12,"&lt;p&gt;",""),"&lt;/p&gt;",""),"&lt;ul&gt;",""),"&lt;/ul&gt;",""),"&lt;/strong&gt;",""))</f>
        <v>25/09/2025 : rdv CB avec Julien Carmona (DG ARKEA), Stéphanie Coulon Renouvel reprend le dossier (fonds de fonds). Priorité ARKEA : Spatial, fort intérêt territoire. Préparation réunion stratégique Straton&amp;lt;&amp;gt;SLPE Expansion. Prochaine échéance : 14/01/2026. Pas d'autres actions récentes.</v>
      </c>
      <c r="I12" s="11" cm="1" t="str">
        <f t="array" ref="I12">IF(C12="","",IF(OR(H12="",H12=0,H12=FALSE),"-",H12))</f>
        <v>25/09/2025 : rdv CB avec Julien Carmona (DG ARKEA), Stéphanie Coulon Renouvel reprend le dossier (fonds de fonds). Priorité ARKEA : Spatial, fort intérêt territoire. Préparation réunion stratégique Straton&amp;lt;&amp;gt;SLPE Expansion. Prochaine échéance : 14/01/2026. Pas d'autres actions récentes.</v>
      </c>
      <c r="J12" s="5">
</c>
      <c r="K12" s="6" t="s">
        <v>58</v>
      </c>
      <c r="L12" s="6" cm="1" t="str">
        <f t="array" ref="L12">IF(C12="","",IF(K12="Mort / Plus rien à faire","KO","OK"))</f>
        <v>OK</v>
      </c>
      <c r="M12" s="12">
        <v>46064.441666666666</v>
      </c>
      <c r="N12" s="12" cm="1" t="n">
        <f t="array" ref="N12">IF(OR(C12="",M12="",M12=0),"",M12)</f>
        <v>46064.441666666666</v>
      </c>
      <c r="O12" s="12">
</c>
      <c r="P12" s="12" cm="1" t="str">
        <f t="array" ref="P12">IF(C12="","",IF(OR(O12="",O12=0),"-",O12))</f>
        <v>-</v>
      </c>
      <c r="Q12" s="13">
        <v>0</v>
      </c>
      <c r="R12" s="9" cm="1" t="str">
        <f t="array" ref="R12">IF(C12="","",ROUND(Q12/1000000,3)&amp;" M€")</f>
        <v>0 M€</v>
      </c>
      <c r="S12" s="9" t="s">
        <v>39</v>
      </c>
      <c r="T12" s="9" cm="1" t="str">
        <f t="array" ref="T12">IF(C12="","",SUBSTITUTE(S12,"","")&amp;"%")</f>
        <v>10%</v>
      </c>
      <c r="U12" s="6" cm="1" t="str">
        <f t="array" ref="U12">IF(($N12="")*($P12=""),"",IF(($N12&lt;&gt;"")*($N12&gt;TODAY()-9)*($N12&lt;TODAY()+1)*($P12&lt;&gt;"")*($P12&gt;=TODAY())*($P12&lt;=TODAY()+13),"Semaine passée &amp; à venir",IF(($N12&lt;&gt;"")*($N12&gt;TODAY()-9)*($N12&lt;TODAY()+1),"Semaine passée",IF(($P12&lt;&gt;"")*($P12&gt;=TODAY())*($P12&lt;=TODAY()+13),"À venir","Autre"))))</f>
        <v>Autre</v>
      </c>
      <c r="V12" s="5" cm="1" t="n">
        <f t="array" ref="V12">IF(C12&lt;&gt;"",1,0)</f>
        <v>1</v>
      </c>
      <c r="W12" s="5">
</c>
      <c r="X12" s="5">
</c>
      <c r="Y12" s="5">
</c>
      <c r="Z12" s="5">
</c>
      <c r="AA12" s="5">
</c>
      <c r="AB12" s="5">
</c>
      <c r="AC12" s="5">
</c>
      <c r="AD12" s="5">
</c>
      <c r="AE12" s="5">
</c>
      <c r="AF12" s="5">
</c>
      <c r="AG12" s="5">
</c>
      <c r="AH12" s="5">
</c>
      <c r="AI12" s="5">
</c>
      <c r="AJ12" s="5">
</c>
    </row>
    <row r="13" ht="70.5" customHeight="1">
      <c r="A13" s="6" t="s">
        <v>32</v>
      </c>
      <c r="B13" s="6" t="s">
        <v>45</v>
      </c>
      <c r="C13" s="9" t="s">
        <v>70</v>
      </c>
      <c r="D13" s="9" t="s">
        <v>71</v>
      </c>
      <c r="E13" s="6" t="s">
        <v>36</v>
      </c>
      <c r="F13" s="5" t="s">
        <v>72</v>
      </c>
      <c r="G13" s="10" cm="1" t="str">
        <f t="array" ref="G13">IF(F13="","",SUBSTITUTE(SUBSTITUTE(SUBSTITUTE(SUBSTITUTE(F13,"&lt;li&gt;",CHAR(10)),"&lt;/li&gt;",""),"&lt;br&gt;",CHAR(10)),"&lt;strong&gt;",""))</f>
        <v>&lt;p&gt;RDV physique 05/03/2026&amp;nbsp;: Straton pas encore inscrit comité investissement, rien avant fin mars. Ok pour 1M€ sur Straton, demande incentive financier closing tech. 3 axes&amp;nbsp;: tech (TIBI), souveraineté (Straton), possible mino défense via LaTourCapital. Résultat financier 2025&amp;nbsp;: +10M€. Attente retour passage comité 30/03/2026.&lt;/p&gt;</v>
      </c>
      <c r="H13" s="10" cm="1" t="str">
        <f t="array" ref="H13">IF(G13="","",SUBSTITUTE(SUBSTITUTE(SUBSTITUTE(SUBSTITUTE(SUBSTITUTE(G13,"&lt;p&gt;",""),"&lt;/p&gt;",""),"&lt;ul&gt;",""),"&lt;/ul&gt;",""),"&lt;/strong&gt;",""))</f>
        <v>RDV physique 05/03/2026&amp;nbsp;: Straton pas encore inscrit comité investissement, rien avant fin mars. Ok pour 1M€ sur Straton, demande incentive financier closing tech. 3 axes&amp;nbsp;: tech (TIBI), souveraineté (Straton), possible mino défense via LaTourCapital. Résultat financier 2025&amp;nbsp;: +10M€. Attente retour passage comité 30/03/2026.</v>
      </c>
      <c r="I13" s="11" cm="1" t="str">
        <f t="array" ref="I13">IF(C13="","",IF(OR(H13="",H13=0,H13=FALSE),"-",H13))</f>
        <v>RDV physique 05/03/2026&amp;nbsp;: Straton pas encore inscrit comité investissement, rien avant fin mars. Ok pour 1M€ sur Straton, demande incentive financier closing tech. 3 axes&amp;nbsp;: tech (TIBI), souveraineté (Straton), possible mino défense via LaTourCapital. Résultat financier 2025&amp;nbsp;: +10M€. Attente retour passage comité 30/03/2026.</v>
      </c>
      <c r="J13" s="5" t="s">
        <v>73</v>
      </c>
      <c r="K13" s="6" t="s">
        <v>58</v>
      </c>
      <c r="L13" s="6" cm="1" t="str">
        <f t="array" ref="L13">IF(C13="","",IF(K13="Mort / Plus rien à faire","KO","OK"))</f>
        <v>OK</v>
      </c>
      <c r="M13" s="12">
        <v>46087.60037037037</v>
      </c>
      <c r="N13" s="12" cm="1" t="n">
        <f t="array" ref="N13">IF(OR(C13="",M13="",M13=0),"",M13)</f>
        <v>46087.60037037037</v>
      </c>
      <c r="O13" s="12">
        <v>46108.041666666664</v>
      </c>
      <c r="P13" s="12" cm="1" t="n">
        <f t="array" ref="P13">IF(C13="","",IF(OR(O13="",O13=0),"-",O13))</f>
        <v>46108.041666666664</v>
      </c>
      <c r="Q13" s="13">
        <v>0</v>
      </c>
      <c r="R13" s="9" cm="1" t="str">
        <f t="array" ref="R13">IF(C13="","",ROUND(Q13/1000000,3)&amp;" M€")</f>
        <v>0 M€</v>
      </c>
      <c r="S13" s="9" t="s">
        <v>39</v>
      </c>
      <c r="T13" s="9" cm="1" t="str">
        <f t="array" ref="T13">IF(C13="","",SUBSTITUTE(S13,"","")&amp;"%")</f>
        <v>10%</v>
      </c>
      <c r="U13" s="6" cm="1" t="str">
        <f t="array" ref="U13">IF(($N13="")*($P13=""),"",IF(($N13&lt;&gt;"")*($N13&gt;TODAY()-9)*($N13&lt;TODAY()+1)*($P13&lt;&gt;"")*($P13&gt;=TODAY())*($P13&lt;=TODAY()+13),"Semaine passée &amp; à venir",IF(($N13&lt;&gt;"")*($N13&gt;TODAY()-9)*($N13&lt;TODAY()+1),"Semaine passée",IF(($P13&lt;&gt;"")*($P13&gt;=TODAY())*($P13&lt;=TODAY()+13),"À venir","Autre"))))</f>
        <v>Semaine passée</v>
      </c>
      <c r="V13" s="5" cm="1" t="n">
        <f t="array" ref="V13">IF(C13&lt;&gt;"",1,0)</f>
        <v>1</v>
      </c>
      <c r="W13" s="5">
</c>
      <c r="X13" s="5">
</c>
      <c r="Y13" s="5">
</c>
      <c r="Z13" s="5">
</c>
      <c r="AA13" s="5">
</c>
      <c r="AB13" s="5">
</c>
      <c r="AC13" s="5">
</c>
      <c r="AD13" s="5">
</c>
      <c r="AE13" s="5">
</c>
      <c r="AF13" s="5">
</c>
      <c r="AG13" s="5">
</c>
      <c r="AH13" s="5">
</c>
      <c r="AI13" s="5">
</c>
      <c r="AJ13" s="5">
</c>
    </row>
    <row r="14" ht="70.5" customHeight="1">
      <c r="A14" s="6" t="s">
        <v>32</v>
      </c>
      <c r="B14" s="6" t="s">
        <v>45</v>
      </c>
      <c r="C14" s="9" t="s">
        <v>74</v>
      </c>
      <c r="D14" s="9" t="s">
        <v>75</v>
      </c>
      <c r="E14" s="6" t="s">
        <v>36</v>
      </c>
      <c r="F14" s="5" t="s">
        <v>76</v>
      </c>
      <c r="G14" s="10" cm="1" t="str">
        <f t="array" ref="G14">IF(F14="","",SUBSTITUTE(SUBSTITUTE(SUBSTITUTE(SUBSTITUTE(F14,"&lt;li&gt;",CHAR(10)),"&lt;/li&gt;",""),"&lt;br&gt;",CHAR(10)),"&lt;strong&gt;",""))</f>
        <v>&lt;p&gt;30/09/2025: plus de réponse, RDV le 5 mai sur autre sujet, CB et Alban de Mailly Nesle impliqués, attente traitement sujet Saptial, AXA discute avec Entrooview (logique business COVEA), relance faite auprès de Benjamin Komarnicki. Pas d'activité récente, prochaines étapes non précisées.&lt;/p&gt;</v>
      </c>
      <c r="H14" s="10" cm="1" t="str">
        <f t="array" ref="H14">IF(G14="","",SUBSTITUTE(SUBSTITUTE(SUBSTITUTE(SUBSTITUTE(SUBSTITUTE(G14,"&lt;p&gt;",""),"&lt;/p&gt;",""),"&lt;ul&gt;",""),"&lt;/ul&gt;",""),"&lt;/strong&gt;",""))</f>
        <v>30/09/2025: plus de réponse, RDV le 5 mai sur autre sujet, CB et Alban de Mailly Nesle impliqués, attente traitement sujet Saptial, AXA discute avec Entrooview (logique business COVEA), relance faite auprès de Benjamin Komarnicki. Pas d'activité récente, prochaines étapes non précisées.</v>
      </c>
      <c r="I14" s="11" cm="1" t="str">
        <f t="array" ref="I14">IF(C14="","",IF(OR(H14="",H14=0,H14=FALSE),"-",H14))</f>
        <v>30/09/2025: plus de réponse, RDV le 5 mai sur autre sujet, CB et Alban de Mailly Nesle impliqués, attente traitement sujet Saptial, AXA discute avec Entrooview (logique business COVEA), relance faite auprès de Benjamin Komarnicki. Pas d'activité récente, prochaines étapes non précisées.</v>
      </c>
      <c r="J14" s="5">
</c>
      <c r="K14" s="6" t="s">
        <v>58</v>
      </c>
      <c r="L14" s="6" cm="1" t="str">
        <f t="array" ref="L14">IF(C14="","",IF(K14="Mort / Plus rien à faire","KO","OK"))</f>
        <v>OK</v>
      </c>
      <c r="M14" s="12">
        <v>46064.45040509259</v>
      </c>
      <c r="N14" s="12" cm="1" t="n">
        <f t="array" ref="N14">IF(OR(C14="",M14="",M14=0),"",M14)</f>
        <v>46064.45040509259</v>
      </c>
      <c r="O14" s="12">
</c>
      <c r="P14" s="12" cm="1" t="str">
        <f t="array" ref="P14">IF(C14="","",IF(OR(O14="",O14=0),"-",O14))</f>
        <v>-</v>
      </c>
      <c r="Q14" s="13">
        <v>0</v>
      </c>
      <c r="R14" s="9" cm="1" t="str">
        <f t="array" ref="R14">IF(C14="","",ROUND(Q14/1000000,3)&amp;" M€")</f>
        <v>0 M€</v>
      </c>
      <c r="S14" s="9" t="s">
        <v>39</v>
      </c>
      <c r="T14" s="9" cm="1" t="str">
        <f t="array" ref="T14">IF(C14="","",SUBSTITUTE(S14,"","")&amp;"%")</f>
        <v>10%</v>
      </c>
      <c r="U14" s="6" cm="1" t="str">
        <f t="array" ref="U14">IF(($N14="")*($P14=""),"",IF(($N14&lt;&gt;"")*($N14&gt;TODAY()-9)*($N14&lt;TODAY()+1)*($P14&lt;&gt;"")*($P14&gt;=TODAY())*($P14&lt;=TODAY()+13),"Semaine passée &amp; à venir",IF(($N14&lt;&gt;"")*($N14&gt;TODAY()-9)*($N14&lt;TODAY()+1),"Semaine passée",IF(($P14&lt;&gt;"")*($P14&gt;=TODAY())*($P14&lt;=TODAY()+13),"À venir","Autre"))))</f>
        <v>Autre</v>
      </c>
      <c r="V14" s="5" cm="1" t="n">
        <f t="array" ref="V14">IF(C14&lt;&gt;"",1,0)</f>
        <v>1</v>
      </c>
      <c r="W14" s="5">
</c>
      <c r="X14" s="5">
</c>
      <c r="Y14" s="5">
</c>
      <c r="Z14" s="5">
</c>
      <c r="AA14" s="5">
</c>
      <c r="AB14" s="5">
</c>
      <c r="AC14" s="5">
</c>
      <c r="AD14" s="5">
</c>
      <c r="AE14" s="5">
</c>
      <c r="AF14" s="5">
</c>
      <c r="AG14" s="5">
</c>
      <c r="AH14" s="5">
</c>
      <c r="AI14" s="5">
</c>
      <c r="AJ14" s="5">
</c>
    </row>
    <row r="15" ht="70.5" customHeight="1">
      <c r="A15" s="6" t="s">
        <v>32</v>
      </c>
      <c r="B15" s="6" t="s">
        <v>45</v>
      </c>
      <c r="C15" s="9" t="s">
        <v>77</v>
      </c>
      <c r="D15" s="9" t="s">
        <v>78</v>
      </c>
      <c r="E15" s="6" t="s">
        <v>36</v>
      </c>
      <c r="F15" s="5" t="s">
        <v>79</v>
      </c>
      <c r="G15" s="10" cm="1" t="str">
        <f t="array" ref="G15">IF(F15="","",SUBSTITUTE(SUBSTITUTE(SUBSTITUTE(SUBSTITUTE(F15,"&lt;li&gt;",CHAR(10)),"&lt;/li&gt;",""),"&lt;br&gt;",CHAR(10)),"&lt;strong&gt;",""))</f>
        <v>&lt;p&gt;15/10/2025 : BPCE Assurances refuse notre offre via Flexstone, trop tôt pour eux, préfèrent early growth (mandat TIBI inclus). Opportunités Tech Buy Out évoquées, ticket visé 8M€. Petit-déj avec Corinne Cipière (DG), lead JF Coppe. Aucun suivi ou action future prévue à ce jour.&lt;/p&gt;</v>
      </c>
      <c r="H15" s="10" cm="1" t="str">
        <f t="array" ref="H15">IF(G15="","",SUBSTITUTE(SUBSTITUTE(SUBSTITUTE(SUBSTITUTE(SUBSTITUTE(G15,"&lt;p&gt;",""),"&lt;/p&gt;",""),"&lt;ul&gt;",""),"&lt;/ul&gt;",""),"&lt;/strong&gt;",""))</f>
        <v>15/10/2025 : BPCE Assurances refuse notre offre via Flexstone, trop tôt pour eux, préfèrent early growth (mandat TIBI inclus). Opportunités Tech Buy Out évoquées, ticket visé 8M€. Petit-déj avec Corinne Cipière (DG), lead JF Coppe. Aucun suivi ou action future prévue à ce jour.</v>
      </c>
      <c r="I15" s="11" cm="1" t="str">
        <f t="array" ref="I15">IF(C15="","",IF(OR(H15="",H15=0,H15=FALSE),"-",H15))</f>
        <v>15/10/2025 : BPCE Assurances refuse notre offre via Flexstone, trop tôt pour eux, préfèrent early growth (mandat TIBI inclus). Opportunités Tech Buy Out évoquées, ticket visé 8M€. Petit-déj avec Corinne Cipière (DG), lead JF Coppe. Aucun suivi ou action future prévue à ce jour.</v>
      </c>
      <c r="J15" s="5">
</c>
      <c r="K15" s="6" t="s">
        <v>58</v>
      </c>
      <c r="L15" s="6" cm="1" t="str">
        <f t="array" ref="L15">IF(C15="","",IF(K15="Mort / Plus rien à faire","KO","OK"))</f>
        <v>OK</v>
      </c>
      <c r="M15" s="12">
        <v>46064.45222222222</v>
      </c>
      <c r="N15" s="12" cm="1" t="n">
        <f t="array" ref="N15">IF(OR(C15="",M15="",M15=0),"",M15)</f>
        <v>46064.45222222222</v>
      </c>
      <c r="O15" s="12">
</c>
      <c r="P15" s="12" cm="1" t="str">
        <f t="array" ref="P15">IF(C15="","",IF(OR(O15="",O15=0),"-",O15))</f>
        <v>-</v>
      </c>
      <c r="Q15" s="13">
        <v>0</v>
      </c>
      <c r="R15" s="9" cm="1" t="str">
        <f t="array" ref="R15">IF(C15="","",ROUND(Q15/1000000,3)&amp;" M€")</f>
        <v>0 M€</v>
      </c>
      <c r="S15" s="9" t="s">
        <v>39</v>
      </c>
      <c r="T15" s="9" cm="1" t="str">
        <f t="array" ref="T15">IF(C15="","",SUBSTITUTE(S15,"","")&amp;"%")</f>
        <v>10%</v>
      </c>
      <c r="U15" s="6" cm="1" t="str">
        <f t="array" ref="U15">IF(($N15="")*($P15=""),"",IF(($N15&lt;&gt;"")*($N15&gt;TODAY()-9)*($N15&lt;TODAY()+1)*($P15&lt;&gt;"")*($P15&gt;=TODAY())*($P15&lt;=TODAY()+13),"Semaine passée &amp; à venir",IF(($N15&lt;&gt;"")*($N15&gt;TODAY()-9)*($N15&lt;TODAY()+1),"Semaine passée",IF(($P15&lt;&gt;"")*($P15&gt;=TODAY())*($P15&lt;=TODAY()+13),"À venir","Autre"))))</f>
        <v>Autre</v>
      </c>
      <c r="V15" s="5" cm="1" t="n">
        <f t="array" ref="V15">IF(C15&lt;&gt;"",1,0)</f>
        <v>1</v>
      </c>
      <c r="W15" s="5">
</c>
      <c r="X15" s="5">
</c>
      <c r="Y15" s="5">
</c>
      <c r="Z15" s="5">
</c>
      <c r="AA15" s="5">
</c>
      <c r="AB15" s="5">
</c>
      <c r="AC15" s="5">
</c>
      <c r="AD15" s="5">
</c>
      <c r="AE15" s="5">
</c>
      <c r="AF15" s="5">
</c>
      <c r="AG15" s="5">
</c>
      <c r="AH15" s="5">
</c>
      <c r="AI15" s="5">
</c>
      <c r="AJ15" s="5">
</c>
    </row>
    <row r="16" ht="70.5" customHeight="1">
      <c r="A16" s="6" t="s">
        <v>32</v>
      </c>
      <c r="B16" s="6" t="s">
        <v>45</v>
      </c>
      <c r="C16" s="9" t="s">
        <v>80</v>
      </c>
      <c r="D16" s="9" t="s">
        <v>81</v>
      </c>
      <c r="E16" s="6" t="s">
        <v>36</v>
      </c>
      <c r="F16" s="5" t="s">
        <v>82</v>
      </c>
      <c r="G16" s="10" cm="1" t="str">
        <f t="array" ref="G16">IF(F16="","",SUBSTITUTE(SUBSTITUTE(SUBSTITUTE(SUBSTITUTE(F16,"&lt;li&gt;",CHAR(10)),"&lt;/li&gt;",""),"&lt;br&gt;",CHAR(10)),"&lt;strong&gt;",""))</f>
        <v>&lt;p data-oe-version="2.0"&gt;25/11/2025: Après visite Entroview, aucun mouvement. Attente programme investissement 2026. &amp;nbsp;Nouvelle piste créée pour équipe Ventes. Aucune action récente, prochaine étape : attendre retour sur programme 2026.&lt;/p&gt;</v>
      </c>
      <c r="H16" s="10" cm="1" t="str">
        <f t="array" ref="H16">IF(G16="","",SUBSTITUTE(SUBSTITUTE(SUBSTITUTE(SUBSTITUTE(SUBSTITUTE(G16,"&lt;p&gt;",""),"&lt;/p&gt;",""),"&lt;ul&gt;",""),"&lt;/ul&gt;",""),"&lt;/strong&gt;",""))</f>
        <v>&lt;p data-oe-version="2.0"&gt;25/11/2025: Après visite Entroview, aucun mouvement. Attente programme investissement 2026. &amp;nbsp;Nouvelle piste créée pour équipe Ventes. Aucune action récente, prochaine étape : attendre retour sur programme 2026.</v>
      </c>
      <c r="I16" s="11" cm="1" t="str">
        <f t="array" ref="I16">IF(C16="","",IF(OR(H16="",H16=0,H16=FALSE),"-",H16))</f>
        <v>&lt;p data-oe-version="2.0"&gt;25/11/2025: Après visite Entroview, aucun mouvement. Attente programme investissement 2026. &amp;nbsp;Nouvelle piste créée pour équipe Ventes. Aucune action récente, prochaine étape : attendre retour sur programme 2026.</v>
      </c>
      <c r="J16" s="5" t="s">
        <v>83</v>
      </c>
      <c r="K16" s="6" t="s">
        <v>58</v>
      </c>
      <c r="L16" s="6" cm="1" t="str">
        <f t="array" ref="L16">IF(C16="","",IF(K16="Mort / Plus rien à faire","KO","OK"))</f>
        <v>OK</v>
      </c>
      <c r="M16" s="12">
        <v>46077.49800925926</v>
      </c>
      <c r="N16" s="12" cm="1" t="n">
        <f t="array" ref="N16">IF(OR(C16="",M16="",M16=0),"",M16)</f>
        <v>46077.49800925926</v>
      </c>
      <c r="O16" s="12">
        <v>46094.041666666664</v>
      </c>
      <c r="P16" s="12" cm="1" t="n">
        <f t="array" ref="P16">IF(C16="","",IF(OR(O16="",O16=0),"-",O16))</f>
        <v>46094.041666666664</v>
      </c>
      <c r="Q16" s="13">
        <v>0</v>
      </c>
      <c r="R16" s="9" cm="1" t="str">
        <f t="array" ref="R16">IF(C16="","",ROUND(Q16/1000000,3)&amp;" M€")</f>
        <v>0 M€</v>
      </c>
      <c r="S16" s="9" t="s">
        <v>39</v>
      </c>
      <c r="T16" s="9" cm="1" t="str">
        <f t="array" ref="T16">IF(C16="","",SUBSTITUTE(S16,"","")&amp;"%")</f>
        <v>10%</v>
      </c>
      <c r="U16" s="6" cm="1" t="str">
        <f t="array" ref="U16">IF(($N16="")*($P16=""),"",IF(($N16&lt;&gt;"")*($N16&gt;TODAY()-9)*($N16&lt;TODAY()+1)*($P16&lt;&gt;"")*($P16&gt;=TODAY())*($P16&lt;=TODAY()+13),"Semaine passée &amp; à venir",IF(($N16&lt;&gt;"")*($N16&gt;TODAY()-9)*($N16&lt;TODAY()+1),"Semaine passée",IF(($P16&lt;&gt;"")*($P16&gt;=TODAY())*($P16&lt;=TODAY()+13),"À venir","Autre"))))</f>
        <v>À venir</v>
      </c>
      <c r="V16" s="5" cm="1" t="n">
        <f t="array" ref="V16">IF(C16&lt;&gt;"",1,0)</f>
        <v>1</v>
      </c>
      <c r="W16" s="5">
</c>
      <c r="X16" s="5">
</c>
      <c r="Y16" s="5">
</c>
      <c r="Z16" s="5">
</c>
      <c r="AA16" s="5">
</c>
      <c r="AB16" s="5">
</c>
      <c r="AC16" s="5">
</c>
      <c r="AD16" s="5">
</c>
      <c r="AE16" s="5">
</c>
      <c r="AF16" s="5">
</c>
      <c r="AG16" s="5">
</c>
      <c r="AH16" s="5">
</c>
      <c r="AI16" s="5">
</c>
      <c r="AJ16" s="5">
</c>
    </row>
    <row r="17" ht="70.5" customHeight="1">
      <c r="A17" s="6" t="s">
        <v>32</v>
      </c>
      <c r="B17" s="6" t="s">
        <v>84</v>
      </c>
      <c r="C17" s="9" t="s">
        <v>85</v>
      </c>
      <c r="D17" s="9" t="s">
        <v>86</v>
      </c>
      <c r="E17" s="6" t="s">
        <v>36</v>
      </c>
      <c r="F17" s="5" t="s">
        <v>87</v>
      </c>
      <c r="G17" s="10" cm="1" t="str">
        <f t="array" ref="G17">IF(F17="","",SUBSTITUTE(SUBSTITUTE(SUBSTITUTE(SUBSTITUTE(F17,"&lt;li&gt;",CHAR(10)),"&lt;/li&gt;",""),"&lt;br&gt;",CHAR(10)),"&lt;strong&gt;",""))</f>
        <v>&lt;p&gt;Aucune activité menée sur le prospect. Infos disponibles : Opportunité European Organization for Nuclear Research (CERN), grand laboratoire de physique des particules, plus de 2 500 employés, 12 000 scientifiques, connu pour le LHC. Aucune action, échange ou retour prospect enregistré à ce jour.&lt;/p&gt;</v>
      </c>
      <c r="H17" s="10" cm="1" t="str">
        <f t="array" ref="H17">IF(G17="","",SUBSTITUTE(SUBSTITUTE(SUBSTITUTE(SUBSTITUTE(SUBSTITUTE(G17,"&lt;p&gt;",""),"&lt;/p&gt;",""),"&lt;ul&gt;",""),"&lt;/ul&gt;",""),"&lt;/strong&gt;",""))</f>
        <v>Aucune activité menée sur le prospect. Infos disponibles : Opportunité European Organization for Nuclear Research (CERN), grand laboratoire de physique des particules, plus de 2 500 employés, 12 000 scientifiques, connu pour le LHC. Aucune action, échange ou retour prospect enregistré à ce jour.</v>
      </c>
      <c r="I17" s="11" cm="1" t="str">
        <f t="array" ref="I17">IF(C17="","",IF(OR(H17="",H17=0,H17=FALSE),"-",H17))</f>
        <v>Aucune activité menée sur le prospect. Infos disponibles : Opportunité European Organization for Nuclear Research (CERN), grand laboratoire de physique des particules, plus de 2 500 employés, 12 000 scientifiques, connu pour le LHC. Aucune action, échange ou retour prospect enregistré à ce jour.</v>
      </c>
      <c r="J17" s="5">
</c>
      <c r="K17" s="6" t="s">
        <v>38</v>
      </c>
      <c r="L17" s="6" cm="1" t="str">
        <f t="array" ref="L17">IF(C17="","",IF(K17="Mort / Plus rien à faire","KO","OK"))</f>
        <v>OK</v>
      </c>
      <c r="M17" s="12">
        <v>45999.77061342593</v>
      </c>
      <c r="N17" s="12" cm="1" t="n">
        <f t="array" ref="N17">IF(OR(C17="",M17="",M17=0),"",M17)</f>
        <v>45999.77061342593</v>
      </c>
      <c r="O17" s="12">
</c>
      <c r="P17" s="12" cm="1" t="str">
        <f t="array" ref="P17">IF(C17="","",IF(OR(O17="",O17=0),"-",O17))</f>
        <v>-</v>
      </c>
      <c r="Q17" s="13">
        <v>0</v>
      </c>
      <c r="R17" s="9" cm="1" t="str">
        <f t="array" ref="R17">IF(C17="","",ROUND(Q17/1000000,3)&amp;" M€")</f>
        <v>0 M€</v>
      </c>
      <c r="S17" s="9" t="s">
        <v>88</v>
      </c>
      <c r="T17" s="9" cm="1" t="str">
        <f t="array" ref="T17">IF(C17="","",SUBSTITUTE(S17,"","")&amp;"%")</f>
        <v>0%</v>
      </c>
      <c r="U17" s="6" cm="1" t="str">
        <f t="array" ref="U17">IF(($N17="")*($P17=""),"",IF(($N17&lt;&gt;"")*($N17&gt;TODAY()-9)*($N17&lt;TODAY()+1)*($P17&lt;&gt;"")*($P17&gt;=TODAY())*($P17&lt;=TODAY()+13),"Semaine passée &amp; à venir",IF(($N17&lt;&gt;"")*($N17&gt;TODAY()-9)*($N17&lt;TODAY()+1),"Semaine passée",IF(($P17&lt;&gt;"")*($P17&gt;=TODAY())*($P17&lt;=TODAY()+13),"À venir","Autre"))))</f>
        <v>Autre</v>
      </c>
      <c r="V17" s="5" cm="1" t="n">
        <f t="array" ref="V17">IF(C17&lt;&gt;"",1,0)</f>
        <v>1</v>
      </c>
      <c r="W17" s="5">
</c>
      <c r="X17" s="5">
</c>
      <c r="Y17" s="5">
</c>
      <c r="Z17" s="5">
</c>
      <c r="AA17" s="5">
</c>
      <c r="AB17" s="5">
</c>
      <c r="AC17" s="5">
</c>
      <c r="AD17" s="5">
</c>
      <c r="AE17" s="5">
</c>
      <c r="AF17" s="5">
</c>
      <c r="AG17" s="5">
</c>
      <c r="AH17" s="5">
</c>
      <c r="AI17" s="5">
</c>
      <c r="AJ17" s="5">
</c>
    </row>
    <row r="18" ht="70.5" customHeight="1">
      <c r="A18" s="6" t="s">
        <v>32</v>
      </c>
      <c r="B18" s="6" t="s">
        <v>89</v>
      </c>
      <c r="C18" s="9" t="s">
        <v>90</v>
      </c>
      <c r="D18" s="9" t="s">
        <v>91</v>
      </c>
      <c r="E18" s="6" t="s">
        <v>36</v>
      </c>
      <c r="F18" s="5" t="s">
        <v>92</v>
      </c>
      <c r="G18" s="10" cm="1" t="str">
        <f t="array" ref="G18">IF(F18="","",SUBSTITUTE(SUBSTITUTE(SUBSTITUTE(SUBSTITUTE(F18,"&lt;li&gt;",CHAR(10)),"&lt;/li&gt;",""),"&lt;br&gt;",CHAR(10)),"&lt;strong&gt;",""))</f>
        <v>&lt;p&gt;Nouvelle piste créée pour équipe Ventes par Romain Andrieu. Aucun échange, activité ou retour prospect enregistré à ce jour. Pas d'action menée, pas de suivi, pas de retour ni d'étape planifiée. Aucun élément sur la perception des fonds ou prochaines étapes. Suivi à initier.&lt;/p&gt;</v>
      </c>
      <c r="H18" s="10" cm="1" t="str">
        <f t="array" ref="H18">IF(G18="","",SUBSTITUTE(SUBSTITUTE(SUBSTITUTE(SUBSTITUTE(SUBSTITUTE(G18,"&lt;p&gt;",""),"&lt;/p&gt;",""),"&lt;ul&gt;",""),"&lt;/ul&gt;",""),"&lt;/strong&gt;",""))</f>
        <v>Nouvelle piste créée pour équipe Ventes par Romain Andrieu. Aucun échange, activité ou retour prospect enregistré à ce jour. Pas d'action menée, pas de suivi, pas de retour ni d'étape planifiée. Aucun élément sur la perception des fonds ou prochaines étapes. Suivi à initier.</v>
      </c>
      <c r="I18" s="11" cm="1" t="str">
        <f t="array" ref="I18">IF(C18="","",IF(OR(H18="",H18=0,H18=FALSE),"-",H18))</f>
        <v>Nouvelle piste créée pour équipe Ventes par Romain Andrieu. Aucun échange, activité ou retour prospect enregistré à ce jour. Pas d'action menée, pas de suivi, pas de retour ni d'étape planifiée. Aucun élément sur la perception des fonds ou prochaines étapes. Suivi à initier.</v>
      </c>
      <c r="J18" s="5" t="s">
        <v>93</v>
      </c>
      <c r="K18" s="6" t="s">
        <v>38</v>
      </c>
      <c r="L18" s="6" cm="1" t="str">
        <f t="array" ref="L18">IF(C18="","",IF(K18="Mort / Plus rien à faire","KO","OK"))</f>
        <v>OK</v>
      </c>
      <c r="M18" s="12">
        <v>46085.42219907408</v>
      </c>
      <c r="N18" s="12" cm="1" t="n">
        <f t="array" ref="N18">IF(OR(C18="",M18="",M18=0),"",M18)</f>
        <v>46085.42219907408</v>
      </c>
      <c r="O18" s="12">
        <v>46087.041666666664</v>
      </c>
      <c r="P18" s="12" cm="1" t="n">
        <f t="array" ref="P18">IF(C18="","",IF(OR(O18="",O18=0),"-",O18))</f>
        <v>46087.041666666664</v>
      </c>
      <c r="Q18" s="13">
        <v>0</v>
      </c>
      <c r="R18" s="9" cm="1" t="str">
        <f t="array" ref="R18">IF(C18="","",ROUND(Q18/1000000,3)&amp;" M€")</f>
        <v>0 M€</v>
      </c>
      <c r="S18" s="9" t="s">
        <v>88</v>
      </c>
      <c r="T18" s="9" cm="1" t="str">
        <f t="array" ref="T18">IF(C18="","",SUBSTITUTE(S18,"","")&amp;"%")</f>
        <v>0%</v>
      </c>
      <c r="U18" s="6" cm="1" t="str">
        <f t="array" ref="U18">IF(($N18="")*($P18=""),"",IF(($N18&lt;&gt;"")*($N18&gt;TODAY()-9)*($N18&lt;TODAY()+1)*($P18&lt;&gt;"")*($P18&gt;=TODAY())*($P18&lt;=TODAY()+13),"Semaine passée &amp; à venir",IF(($N18&lt;&gt;"")*($N18&gt;TODAY()-9)*($N18&lt;TODAY()+1),"Semaine passée",IF(($P18&lt;&gt;"")*($P18&gt;=TODAY())*($P18&lt;=TODAY()+13),"À venir","Autre"))))</f>
        <v>Semaine passée &amp; à venir</v>
      </c>
      <c r="V18" s="5" cm="1" t="n">
        <f t="array" ref="V18">IF(C18&lt;&gt;"",1,0)</f>
        <v>1</v>
      </c>
      <c r="W18" s="5">
</c>
      <c r="X18" s="5">
</c>
      <c r="Y18" s="5">
</c>
      <c r="Z18" s="5">
</c>
      <c r="AA18" s="5">
</c>
      <c r="AB18" s="5">
</c>
      <c r="AC18" s="5">
</c>
      <c r="AD18" s="5">
</c>
      <c r="AE18" s="5">
</c>
      <c r="AF18" s="5">
</c>
      <c r="AG18" s="5">
</c>
      <c r="AH18" s="5">
</c>
      <c r="AI18" s="5">
</c>
      <c r="AJ18" s="5">
</c>
    </row>
    <row r="19" ht="70.5" customHeight="1">
      <c r="A19" s="6">
</c>
      <c r="B19" s="6">
</c>
      <c r="C19" s="9">
</c>
      <c r="D19" s="9">
</c>
      <c r="E19" s="6">
</c>
      <c r="F19" s="5">
</c>
      <c r="G19" s="10" cm="1" t="str">
        <f t="array" ref="G19">IF(F19="","",SUBSTITUTE(SUBSTITUTE(SUBSTITUTE(SUBSTITUTE(F19,"&lt;li&gt;",CHAR(10)),"&lt;/li&gt;",""),"&lt;br&gt;",CHAR(10)),"&lt;strong&gt;",""))</f>
        <v/>
      </c>
      <c r="H19" s="10" cm="1" t="str">
        <f t="array" ref="H19">IF(G19="","",SUBSTITUTE(SUBSTITUTE(SUBSTITUTE(SUBSTITUTE(SUBSTITUTE(G19,"&lt;p&gt;",""),"&lt;/p&gt;",""),"&lt;ul&gt;",""),"&lt;/ul&gt;",""),"&lt;/strong&gt;",""))</f>
        <v/>
      </c>
      <c r="I19" s="11" cm="1" t="str">
        <f t="array" ref="I19">IF(C19="","",IF(OR(H19="",H19=0,H19=FALSE),"-",H19))</f>
        <v/>
      </c>
      <c r="J19" s="5">
</c>
      <c r="K19" s="6">
</c>
      <c r="L19" s="6" cm="1" t="str">
        <f t="array" ref="L19">IF(C19="","",IF(K19="Mort / Plus rien à faire","KO","OK"))</f>
        <v/>
      </c>
      <c r="M19" s="12">
</c>
      <c r="N19" s="12" cm="1" t="str">
        <f t="array" ref="N19">IF(OR(C19="",M19="",M19=0),"",M19)</f>
        <v/>
      </c>
      <c r="O19" s="12">
</c>
      <c r="P19" s="12" cm="1" t="str">
        <f t="array" ref="P19">IF(C19="","",IF(OR(O19="",O19=0),"-",O19))</f>
        <v/>
      </c>
      <c r="Q19" s="13">
</c>
      <c r="R19" s="9" cm="1" t="str">
        <f t="array" ref="R19">IF(C19="","",ROUND(Q19/1000000,3)&amp;" M€")</f>
        <v/>
      </c>
      <c r="S19" s="9">
</c>
      <c r="T19" s="9" cm="1" t="str">
        <f t="array" ref="T19">IF(C19="","",SUBSTITUTE(S19,"","")&amp;"%")</f>
        <v/>
      </c>
      <c r="U19" s="6" cm="1" t="str">
        <f t="array" ref="U19">IF(($N19="")*($P19=""),"",IF(($N19&lt;&gt;"")*($N19&gt;TODAY()-9)*($N19&lt;TODAY()+1)*($P19&lt;&gt;"")*($P19&gt;=TODAY())*($P19&lt;=TODAY()+13),"Semaine passée &amp; à venir",IF(($N19&lt;&gt;"")*($N19&gt;TODAY()-9)*($N19&lt;TODAY()+1),"Semaine passée",IF(($P19&lt;&gt;"")*($P19&gt;=TODAY())*($P19&lt;=TODAY()+13),"À venir","Autre"))))</f>
        <v/>
      </c>
      <c r="V19" s="5" cm="1" t="n">
        <f t="array" ref="V19">IF(C19&lt;&gt;"",1,0)</f>
        <v>0</v>
      </c>
      <c r="W19" s="5">
</c>
      <c r="X19" s="5">
</c>
      <c r="Y19" s="5">
</c>
      <c r="Z19" s="5">
</c>
      <c r="AA19" s="5">
</c>
      <c r="AB19" s="5">
</c>
      <c r="AC19" s="5">
</c>
      <c r="AD19" s="5">
</c>
      <c r="AE19" s="5">
</c>
      <c r="AF19" s="5">
</c>
      <c r="AG19" s="5">
</c>
      <c r="AH19" s="5">
</c>
      <c r="AI19" s="5">
</c>
      <c r="AJ19" s="5">
</c>
    </row>
    <row r="20" ht="70.5" customHeight="1">
      <c r="A20" s="6">
</c>
      <c r="B20" s="6">
</c>
      <c r="C20" s="9">
</c>
      <c r="D20" s="9">
</c>
      <c r="E20" s="6">
</c>
      <c r="F20" s="5">
</c>
      <c r="G20" s="10" cm="1" t="str">
        <f t="array" ref="G20">IF(F20="","",SUBSTITUTE(SUBSTITUTE(SUBSTITUTE(SUBSTITUTE(F20,"&lt;li&gt;",CHAR(10)),"&lt;/li&gt;",""),"&lt;br&gt;",CHAR(10)),"&lt;strong&gt;",""))</f>
        <v/>
      </c>
      <c r="H20" s="10" cm="1" t="str">
        <f t="array" ref="H20">IF(G20="","",SUBSTITUTE(SUBSTITUTE(SUBSTITUTE(SUBSTITUTE(SUBSTITUTE(G20,"&lt;p&gt;",""),"&lt;/p&gt;",""),"&lt;ul&gt;",""),"&lt;/ul&gt;",""),"&lt;/strong&gt;",""))</f>
        <v/>
      </c>
      <c r="I20" s="11" cm="1" t="str">
        <f t="array" ref="I20">IF(C20="","",IF(OR(H20="",H20=0,H20=FALSE),"-",H20))</f>
        <v/>
      </c>
      <c r="J20" s="5">
</c>
      <c r="K20" s="6">
</c>
      <c r="L20" s="6" cm="1" t="str">
        <f t="array" ref="L20">IF(C20="","",IF(K20="Mort / Plus rien à faire","KO","OK"))</f>
        <v/>
      </c>
      <c r="M20" s="12">
</c>
      <c r="N20" s="12" cm="1" t="str">
        <f t="array" ref="N20">IF(OR(C20="",M20="",M20=0),"",M20)</f>
        <v/>
      </c>
      <c r="O20" s="12">
</c>
      <c r="P20" s="12" cm="1" t="str">
        <f t="array" ref="P20">IF(C20="","",IF(OR(O20="",O20=0),"-",O20))</f>
        <v/>
      </c>
      <c r="Q20" s="13">
</c>
      <c r="R20" s="9" cm="1" t="str">
        <f t="array" ref="R20">IF(C20="","",ROUND(Q20/1000000,3)&amp;" M€")</f>
        <v/>
      </c>
      <c r="S20" s="9">
</c>
      <c r="T20" s="9" cm="1" t="str">
        <f t="array" ref="T20">IF(C20="","",SUBSTITUTE(S20,"","")&amp;"%")</f>
        <v/>
      </c>
      <c r="U20" s="6" cm="1" t="str">
        <f t="array" ref="U20">IF(($N20="")*($P20=""),"",IF(($N20&lt;&gt;"")*($N20&gt;TODAY()-9)*($N20&lt;TODAY()+1)*($P20&lt;&gt;"")*($P20&gt;=TODAY())*($P20&lt;=TODAY()+13),"Semaine passée &amp; à venir",IF(($N20&lt;&gt;"")*($N20&gt;TODAY()-9)*($N20&lt;TODAY()+1),"Semaine passée",IF(($P20&lt;&gt;"")*($P20&gt;=TODAY())*($P20&lt;=TODAY()+13),"À venir","Autre"))))</f>
        <v/>
      </c>
      <c r="V20" s="5" cm="1" t="n">
        <f t="array" ref="V20">IF(C20&lt;&gt;"",1,0)</f>
        <v>0</v>
      </c>
      <c r="W20" s="5">
</c>
      <c r="X20" s="5">
</c>
      <c r="Y20" s="5">
</c>
      <c r="Z20" s="5">
</c>
      <c r="AA20" s="5">
</c>
      <c r="AB20" s="5">
</c>
      <c r="AC20" s="5">
</c>
      <c r="AD20" s="5">
</c>
      <c r="AE20" s="5">
</c>
      <c r="AF20" s="5">
</c>
      <c r="AG20" s="5">
</c>
      <c r="AH20" s="5">
</c>
      <c r="AI20" s="5">
</c>
      <c r="AJ20" s="5">
</c>
    </row>
    <row r="21" ht="70.5" customHeight="1">
      <c r="A21" s="6">
</c>
      <c r="B21" s="6">
</c>
      <c r="C21" s="9">
</c>
      <c r="D21" s="9">
</c>
      <c r="E21" s="6">
</c>
      <c r="F21" s="5">
</c>
      <c r="G21" s="10" cm="1" t="str">
        <f t="array" ref="G21">IF(F21="","",SUBSTITUTE(SUBSTITUTE(SUBSTITUTE(SUBSTITUTE(F21,"&lt;li&gt;",CHAR(10)),"&lt;/li&gt;",""),"&lt;br&gt;",CHAR(10)),"&lt;strong&gt;",""))</f>
        <v/>
      </c>
      <c r="H21" s="10" cm="1" t="str">
        <f t="array" ref="H21">IF(G21="","",SUBSTITUTE(SUBSTITUTE(SUBSTITUTE(SUBSTITUTE(SUBSTITUTE(G21,"&lt;p&gt;",""),"&lt;/p&gt;",""),"&lt;ul&gt;",""),"&lt;/ul&gt;",""),"&lt;/strong&gt;",""))</f>
        <v/>
      </c>
      <c r="I21" s="11" cm="1" t="str">
        <f t="array" ref="I21">IF(C21="","",IF(OR(H21="",H21=0,H21=FALSE),"-",H21))</f>
        <v/>
      </c>
      <c r="J21" s="5">
</c>
      <c r="K21" s="6">
</c>
      <c r="L21" s="6" cm="1" t="str">
        <f t="array" ref="L21">IF(C21="","",IF(K21="Mort / Plus rien à faire","KO","OK"))</f>
        <v/>
      </c>
      <c r="M21" s="12">
</c>
      <c r="N21" s="12" cm="1" t="str">
        <f t="array" ref="N21">IF(OR(C21="",M21="",M21=0),"",M21)</f>
        <v/>
      </c>
      <c r="O21" s="12">
</c>
      <c r="P21" s="12" cm="1" t="str">
        <f t="array" ref="P21">IF(C21="","",IF(OR(O21="",O21=0),"-",O21))</f>
        <v/>
      </c>
      <c r="Q21" s="13">
</c>
      <c r="R21" s="9" cm="1" t="str">
        <f t="array" ref="R21">IF(C21="","",ROUND(Q21/1000000,3)&amp;" M€")</f>
        <v/>
      </c>
      <c r="S21" s="9">
</c>
      <c r="T21" s="9" cm="1" t="str">
        <f t="array" ref="T21">IF(C21="","",SUBSTITUTE(S21,"","")&amp;"%")</f>
        <v/>
      </c>
      <c r="U21" s="6" cm="1" t="str">
        <f t="array" ref="U21">IF(($N21="")*($P21=""),"",IF(($N21&lt;&gt;"")*($N21&gt;TODAY()-9)*($N21&lt;TODAY()+1)*($P21&lt;&gt;"")*($P21&gt;=TODAY())*($P21&lt;=TODAY()+13),"Semaine passée &amp; à venir",IF(($N21&lt;&gt;"")*($N21&gt;TODAY()-9)*($N21&lt;TODAY()+1),"Semaine passée",IF(($P21&lt;&gt;"")*($P21&gt;=TODAY())*($P21&lt;=TODAY()+13),"À venir","Autre"))))</f>
        <v/>
      </c>
      <c r="V21" s="5" cm="1" t="n">
        <f t="array" ref="V21">IF(C21&lt;&gt;"",1,0)</f>
        <v>0</v>
      </c>
      <c r="W21" s="5">
</c>
      <c r="X21" s="5">
</c>
      <c r="Y21" s="5">
</c>
      <c r="Z21" s="5">
</c>
      <c r="AA21" s="5">
</c>
      <c r="AB21" s="5">
</c>
      <c r="AC21" s="5">
</c>
      <c r="AD21" s="5">
</c>
      <c r="AE21" s="5">
</c>
      <c r="AF21" s="5">
</c>
      <c r="AG21" s="5">
</c>
      <c r="AH21" s="5">
</c>
      <c r="AI21" s="5">
</c>
      <c r="AJ21" s="5">
</c>
    </row>
    <row r="22" ht="70.5" customHeight="1">
      <c r="A22" s="6">
</c>
      <c r="B22" s="6">
</c>
      <c r="C22" s="9">
</c>
      <c r="D22" s="9">
</c>
      <c r="E22" s="6">
</c>
      <c r="F22" s="5">
</c>
      <c r="G22" s="10" cm="1" t="str">
        <f t="array" ref="G22">IF(F22="","",SUBSTITUTE(SUBSTITUTE(SUBSTITUTE(SUBSTITUTE(F22,"&lt;li&gt;",CHAR(10)),"&lt;/li&gt;",""),"&lt;br&gt;",CHAR(10)),"&lt;strong&gt;",""))</f>
        <v/>
      </c>
      <c r="H22" s="10" cm="1" t="str">
        <f t="array" ref="H22">IF(G22="","",SUBSTITUTE(SUBSTITUTE(SUBSTITUTE(SUBSTITUTE(SUBSTITUTE(G22,"&lt;p&gt;",""),"&lt;/p&gt;",""),"&lt;ul&gt;",""),"&lt;/ul&gt;",""),"&lt;/strong&gt;",""))</f>
        <v/>
      </c>
      <c r="I22" s="11" cm="1" t="str">
        <f t="array" ref="I22">IF(C22="","",IF(OR(H22="",H22=0,H22=FALSE),"-",H22))</f>
        <v/>
      </c>
      <c r="J22" s="5">
</c>
      <c r="K22" s="6">
</c>
      <c r="L22" s="6" cm="1" t="str">
        <f t="array" ref="L22">IF(C22="","",IF(K22="Mort / Plus rien à faire","KO","OK"))</f>
        <v/>
      </c>
      <c r="M22" s="12">
</c>
      <c r="N22" s="12" cm="1" t="str">
        <f t="array" ref="N22">IF(OR(C22="",M22="",M22=0),"",M22)</f>
        <v/>
      </c>
      <c r="O22" s="12">
</c>
      <c r="P22" s="12" cm="1" t="str">
        <f t="array" ref="P22">IF(C22="","",IF(OR(O22="",O22=0),"-",O22))</f>
        <v/>
      </c>
      <c r="Q22" s="13">
</c>
      <c r="R22" s="9" cm="1" t="str">
        <f t="array" ref="R22">IF(C22="","",ROUND(Q22/1000000,3)&amp;" M€")</f>
        <v/>
      </c>
      <c r="S22" s="9">
</c>
      <c r="T22" s="9" cm="1" t="str">
        <f t="array" ref="T22">IF(C22="","",SUBSTITUTE(S22,"","")&amp;"%")</f>
        <v/>
      </c>
      <c r="U22" s="6" cm="1" t="str">
        <f t="array" ref="U22">IF(($N22="")*($P22=""),"",IF(($N22&lt;&gt;"")*($N22&gt;TODAY()-9)*($N22&lt;TODAY()+1)*($P22&lt;&gt;"")*($P22&gt;=TODAY())*($P22&lt;=TODAY()+13),"Semaine passée &amp; à venir",IF(($N22&lt;&gt;"")*($N22&gt;TODAY()-9)*($N22&lt;TODAY()+1),"Semaine passée",IF(($P22&lt;&gt;"")*($P22&gt;=TODAY())*($P22&lt;=TODAY()+13),"À venir","Autre"))))</f>
        <v/>
      </c>
      <c r="V22" s="5" cm="1" t="n">
        <f t="array" ref="V22">IF(C22&lt;&gt;"",1,0)</f>
        <v>0</v>
      </c>
      <c r="W22" s="5">
</c>
      <c r="X22" s="5">
</c>
      <c r="Y22" s="5">
</c>
      <c r="Z22" s="5">
</c>
      <c r="AA22" s="5">
</c>
      <c r="AB22" s="5">
</c>
      <c r="AC22" s="5">
</c>
      <c r="AD22" s="5">
</c>
      <c r="AE22" s="5">
</c>
      <c r="AF22" s="5">
</c>
      <c r="AG22" s="5">
</c>
      <c r="AH22" s="5">
</c>
      <c r="AI22" s="5">
</c>
      <c r="AJ22" s="5">
</c>
    </row>
    <row r="23" ht="70.5" customHeight="1">
      <c r="A23" s="6">
</c>
      <c r="B23" s="6">
</c>
      <c r="C23" s="9">
</c>
      <c r="D23" s="9">
</c>
      <c r="E23" s="6">
</c>
      <c r="F23" s="5">
</c>
      <c r="G23" s="10" cm="1" t="str">
        <f t="array" ref="G23">IF(F23="","",SUBSTITUTE(SUBSTITUTE(SUBSTITUTE(SUBSTITUTE(F23,"&lt;li&gt;",CHAR(10)),"&lt;/li&gt;",""),"&lt;br&gt;",CHAR(10)),"&lt;strong&gt;",""))</f>
        <v/>
      </c>
      <c r="H23" s="10" cm="1" t="str">
        <f t="array" ref="H23">IF(G23="","",SUBSTITUTE(SUBSTITUTE(SUBSTITUTE(SUBSTITUTE(SUBSTITUTE(G23,"&lt;p&gt;",""),"&lt;/p&gt;",""),"&lt;ul&gt;",""),"&lt;/ul&gt;",""),"&lt;/strong&gt;",""))</f>
        <v/>
      </c>
      <c r="I23" s="11" cm="1" t="str">
        <f t="array" ref="I23">IF(C23="","",IF(OR(H23="",H23=0,H23=FALSE),"-",H23))</f>
        <v/>
      </c>
      <c r="J23" s="5">
</c>
      <c r="K23" s="6">
</c>
      <c r="L23" s="6" cm="1" t="str">
        <f t="array" ref="L23">IF(C23="","",IF(K23="Mort / Plus rien à faire","KO","OK"))</f>
        <v/>
      </c>
      <c r="M23" s="12">
</c>
      <c r="N23" s="12" cm="1" t="str">
        <f t="array" ref="N23">IF(OR(C23="",M23="",M23=0),"",M23)</f>
        <v/>
      </c>
      <c r="O23" s="12">
</c>
      <c r="P23" s="12" cm="1" t="str">
        <f t="array" ref="P23">IF(C23="","",IF(OR(O23="",O23=0),"-",O23))</f>
        <v/>
      </c>
      <c r="Q23" s="13">
</c>
      <c r="R23" s="9" cm="1" t="str">
        <f t="array" ref="R23">IF(C23="","",ROUND(Q23/1000000,3)&amp;" M€")</f>
        <v/>
      </c>
      <c r="S23" s="9">
</c>
      <c r="T23" s="9" cm="1" t="str">
        <f t="array" ref="T23">IF(C23="","",SUBSTITUTE(S23,"","")&amp;"%")</f>
        <v/>
      </c>
      <c r="U23" s="6" cm="1" t="str">
        <f t="array" ref="U23">IF(($N23="")*($P23=""),"",IF(($N23&lt;&gt;"")*($N23&gt;TODAY()-9)*($N23&lt;TODAY()+1)*($P23&lt;&gt;"")*($P23&gt;=TODAY())*($P23&lt;=TODAY()+13),"Semaine passée &amp; à venir",IF(($N23&lt;&gt;"")*($N23&gt;TODAY()-9)*($N23&lt;TODAY()+1),"Semaine passée",IF(($P23&lt;&gt;"")*($P23&gt;=TODAY())*($P23&lt;=TODAY()+13),"À venir","Autre"))))</f>
        <v/>
      </c>
      <c r="V23" s="5" cm="1" t="n">
        <f t="array" ref="V23">IF(C23&lt;&gt;"",1,0)</f>
        <v>0</v>
      </c>
      <c r="W23" s="5">
</c>
      <c r="X23" s="5">
</c>
      <c r="Y23" s="5">
</c>
      <c r="Z23" s="5">
</c>
      <c r="AA23" s="5">
</c>
      <c r="AB23" s="5">
</c>
      <c r="AC23" s="5">
</c>
      <c r="AD23" s="5">
</c>
      <c r="AE23" s="5">
</c>
      <c r="AF23" s="5">
</c>
      <c r="AG23" s="5">
</c>
      <c r="AH23" s="5">
</c>
      <c r="AI23" s="5">
</c>
      <c r="AJ23" s="5">
</c>
    </row>
    <row r="24" ht="70.5" customHeight="1">
      <c r="A24" s="6">
</c>
      <c r="B24" s="6">
</c>
      <c r="C24" s="9">
</c>
      <c r="D24" s="9">
</c>
      <c r="E24" s="6">
</c>
      <c r="F24" s="5">
</c>
      <c r="G24" s="10" cm="1" t="str">
        <f t="array" ref="G24">IF(F24="","",SUBSTITUTE(SUBSTITUTE(SUBSTITUTE(SUBSTITUTE(F24,"&lt;li&gt;",CHAR(10)),"&lt;/li&gt;",""),"&lt;br&gt;",CHAR(10)),"&lt;strong&gt;",""))</f>
        <v/>
      </c>
      <c r="H24" s="10" cm="1" t="str">
        <f t="array" ref="H24">IF(G24="","",SUBSTITUTE(SUBSTITUTE(SUBSTITUTE(SUBSTITUTE(SUBSTITUTE(G24,"&lt;p&gt;",""),"&lt;/p&gt;",""),"&lt;ul&gt;",""),"&lt;/ul&gt;",""),"&lt;/strong&gt;",""))</f>
        <v/>
      </c>
      <c r="I24" s="11" cm="1" t="str">
        <f t="array" ref="I24">IF(C24="","",IF(OR(H24="",H24=0,H24=FALSE),"-",H24))</f>
        <v/>
      </c>
      <c r="J24" s="5">
</c>
      <c r="K24" s="6">
</c>
      <c r="L24" s="6" cm="1" t="str">
        <f t="array" ref="L24">IF(C24="","",IF(K24="Mort / Plus rien à faire","KO","OK"))</f>
        <v/>
      </c>
      <c r="M24" s="12">
</c>
      <c r="N24" s="12" cm="1" t="str">
        <f t="array" ref="N24">IF(OR(C24="",M24="",M24=0),"",M24)</f>
        <v/>
      </c>
      <c r="O24" s="12">
</c>
      <c r="P24" s="12" cm="1" t="str">
        <f t="array" ref="P24">IF(C24="","",IF(OR(O24="",O24=0),"-",O24))</f>
        <v/>
      </c>
      <c r="Q24" s="13">
</c>
      <c r="R24" s="9" cm="1" t="str">
        <f t="array" ref="R24">IF(C24="","",ROUND(Q24/1000000,3)&amp;" M€")</f>
        <v/>
      </c>
      <c r="S24" s="9">
</c>
      <c r="T24" s="9" cm="1" t="str">
        <f t="array" ref="T24">IF(C24="","",SUBSTITUTE(S24,"","")&amp;"%")</f>
        <v/>
      </c>
      <c r="U24" s="6" cm="1" t="str">
        <f t="array" ref="U24">IF(($N24="")*($P24=""),"",IF(($N24&lt;&gt;"")*($N24&gt;TODAY()-9)*($N24&lt;TODAY()+1)*($P24&lt;&gt;"")*($P24&gt;=TODAY())*($P24&lt;=TODAY()+13),"Semaine passée &amp; à venir",IF(($N24&lt;&gt;"")*($N24&gt;TODAY()-9)*($N24&lt;TODAY()+1),"Semaine passée",IF(($P24&lt;&gt;"")*($P24&gt;=TODAY())*($P24&lt;=TODAY()+13),"À venir","Autre"))))</f>
        <v/>
      </c>
      <c r="V24" s="5" cm="1" t="n">
        <f t="array" ref="V24">IF(C24&lt;&gt;"",1,0)</f>
        <v>0</v>
      </c>
      <c r="W24" s="5">
</c>
      <c r="X24" s="5">
</c>
      <c r="Y24" s="5">
</c>
      <c r="Z24" s="5">
</c>
      <c r="AA24" s="5">
</c>
      <c r="AB24" s="5">
</c>
      <c r="AC24" s="5">
</c>
      <c r="AD24" s="5">
</c>
      <c r="AE24" s="5">
</c>
      <c r="AF24" s="5">
</c>
      <c r="AG24" s="5">
</c>
      <c r="AH24" s="5">
</c>
      <c r="AI24" s="5">
</c>
      <c r="AJ24" s="5">
</c>
    </row>
    <row r="25" ht="70.5" customHeight="1">
      <c r="A25" s="6">
</c>
      <c r="B25" s="6">
</c>
      <c r="C25" s="9">
</c>
      <c r="D25" s="9">
</c>
      <c r="E25" s="6">
</c>
      <c r="F25" s="5">
</c>
      <c r="G25" s="10" cm="1" t="str">
        <f t="array" ref="G25">IF(F25="","",SUBSTITUTE(SUBSTITUTE(SUBSTITUTE(SUBSTITUTE(F25,"&lt;li&gt;",CHAR(10)),"&lt;/li&gt;",""),"&lt;br&gt;",CHAR(10)),"&lt;strong&gt;",""))</f>
        <v/>
      </c>
      <c r="H25" s="10" cm="1" t="str">
        <f t="array" ref="H25">IF(G25="","",SUBSTITUTE(SUBSTITUTE(SUBSTITUTE(SUBSTITUTE(SUBSTITUTE(G25,"&lt;p&gt;",""),"&lt;/p&gt;",""),"&lt;ul&gt;",""),"&lt;/ul&gt;",""),"&lt;/strong&gt;",""))</f>
        <v/>
      </c>
      <c r="I25" s="11" cm="1" t="str">
        <f t="array" ref="I25">IF(C25="","",IF(OR(H25="",H25=0,H25=FALSE),"-",H25))</f>
        <v/>
      </c>
      <c r="J25" s="5">
</c>
      <c r="K25" s="6">
</c>
      <c r="L25" s="6" cm="1" t="str">
        <f t="array" ref="L25">IF(C25="","",IF(K25="Mort / Plus rien à faire","KO","OK"))</f>
        <v/>
      </c>
      <c r="M25" s="12">
</c>
      <c r="N25" s="12" cm="1" t="str">
        <f t="array" ref="N25">IF(OR(C25="",M25="",M25=0),"",M25)</f>
        <v/>
      </c>
      <c r="O25" s="12">
</c>
      <c r="P25" s="12" cm="1" t="str">
        <f t="array" ref="P25">IF(C25="","",IF(OR(O25="",O25=0),"-",O25))</f>
        <v/>
      </c>
      <c r="Q25" s="13">
</c>
      <c r="R25" s="9" cm="1" t="str">
        <f t="array" ref="R25">IF(C25="","",ROUND(Q25/1000000,3)&amp;" M€")</f>
        <v/>
      </c>
      <c r="S25" s="9">
</c>
      <c r="T25" s="9" cm="1" t="str">
        <f t="array" ref="T25">IF(C25="","",SUBSTITUTE(S25,"","")&amp;"%")</f>
        <v/>
      </c>
      <c r="U25" s="6" cm="1" t="str">
        <f t="array" ref="U25">IF(($N25="")*($P25=""),"",IF(($N25&lt;&gt;"")*($N25&gt;TODAY()-9)*($N25&lt;TODAY()+1)*($P25&lt;&gt;"")*($P25&gt;=TODAY())*($P25&lt;=TODAY()+13),"Semaine passée &amp; à venir",IF(($N25&lt;&gt;"")*($N25&gt;TODAY()-9)*($N25&lt;TODAY()+1),"Semaine passée",IF(($P25&lt;&gt;"")*($P25&gt;=TODAY())*($P25&lt;=TODAY()+13),"À venir","Autre"))))</f>
        <v/>
      </c>
      <c r="V25" s="5" cm="1" t="n">
        <f t="array" ref="V25">IF(C25&lt;&gt;"",1,0)</f>
        <v>0</v>
      </c>
      <c r="W25" s="5">
</c>
      <c r="X25" s="5">
</c>
      <c r="Y25" s="5">
</c>
      <c r="Z25" s="5">
</c>
      <c r="AA25" s="5">
</c>
      <c r="AB25" s="5">
</c>
      <c r="AC25" s="5">
</c>
      <c r="AD25" s="5">
</c>
      <c r="AE25" s="5">
</c>
      <c r="AF25" s="5">
</c>
      <c r="AG25" s="5">
</c>
      <c r="AH25" s="5">
</c>
      <c r="AI25" s="5">
</c>
      <c r="AJ25" s="5">
</c>
    </row>
    <row r="26" ht="70.5" customHeight="1">
      <c r="A26" s="6">
</c>
      <c r="B26" s="6">
</c>
      <c r="C26" s="9">
</c>
      <c r="D26" s="9">
</c>
      <c r="E26" s="6">
</c>
      <c r="F26" s="5">
</c>
      <c r="G26" s="10" cm="1" t="str">
        <f t="array" ref="G26">IF(F26="","",SUBSTITUTE(SUBSTITUTE(SUBSTITUTE(SUBSTITUTE(F26,"&lt;li&gt;",CHAR(10)),"&lt;/li&gt;",""),"&lt;br&gt;",CHAR(10)),"&lt;strong&gt;",""))</f>
        <v/>
      </c>
      <c r="H26" s="10" cm="1" t="str">
        <f t="array" ref="H26">IF(G26="","",SUBSTITUTE(SUBSTITUTE(SUBSTITUTE(SUBSTITUTE(SUBSTITUTE(G26,"&lt;p&gt;",""),"&lt;/p&gt;",""),"&lt;ul&gt;",""),"&lt;/ul&gt;",""),"&lt;/strong&gt;",""))</f>
        <v/>
      </c>
      <c r="I26" s="11" cm="1" t="str">
        <f t="array" ref="I26">IF(C26="","",IF(OR(H26="",H26=0,H26=FALSE),"-",H26))</f>
        <v/>
      </c>
      <c r="J26" s="5">
</c>
      <c r="K26" s="6">
</c>
      <c r="L26" s="6" cm="1" t="str">
        <f t="array" ref="L26">IF(C26="","",IF(K26="Mort / Plus rien à faire","KO","OK"))</f>
        <v/>
      </c>
      <c r="M26" s="12">
</c>
      <c r="N26" s="12" cm="1" t="str">
        <f t="array" ref="N26">IF(OR(C26="",M26="",M26=0),"",M26)</f>
        <v/>
      </c>
      <c r="O26" s="12">
</c>
      <c r="P26" s="12" cm="1" t="str">
        <f t="array" ref="P26">IF(C26="","",IF(OR(O26="",O26=0),"-",O26))</f>
        <v/>
      </c>
      <c r="Q26" s="13">
</c>
      <c r="R26" s="9" cm="1" t="str">
        <f t="array" ref="R26">IF(C26="","",ROUND(Q26/1000000,3)&amp;" M€")</f>
        <v/>
      </c>
      <c r="S26" s="9">
</c>
      <c r="T26" s="9" cm="1" t="str">
        <f t="array" ref="T26">IF(C26="","",SUBSTITUTE(S26,"","")&amp;"%")</f>
        <v/>
      </c>
      <c r="U26" s="6" cm="1" t="str">
        <f t="array" ref="U26">IF(($N26="")*($P26=""),"",IF(($N26&lt;&gt;"")*($N26&gt;TODAY()-9)*($N26&lt;TODAY()+1)*($P26&lt;&gt;"")*($P26&gt;=TODAY())*($P26&lt;=TODAY()+13),"Semaine passée &amp; à venir",IF(($N26&lt;&gt;"")*($N26&gt;TODAY()-9)*($N26&lt;TODAY()+1),"Semaine passée",IF(($P26&lt;&gt;"")*($P26&gt;=TODAY())*($P26&lt;=TODAY()+13),"À venir","Autre"))))</f>
        <v/>
      </c>
      <c r="V26" s="5" cm="1" t="n">
        <f t="array" ref="V26">IF(C26&lt;&gt;"",1,0)</f>
        <v>0</v>
      </c>
      <c r="W26" s="5">
</c>
      <c r="X26" s="5">
</c>
      <c r="Y26" s="5">
</c>
      <c r="Z26" s="5">
</c>
      <c r="AA26" s="5">
</c>
      <c r="AB26" s="5">
</c>
      <c r="AC26" s="5">
</c>
      <c r="AD26" s="5">
</c>
      <c r="AE26" s="5">
</c>
      <c r="AF26" s="5">
</c>
      <c r="AG26" s="5">
</c>
      <c r="AH26" s="5">
</c>
      <c r="AI26" s="5">
</c>
      <c r="AJ26" s="5">
</c>
    </row>
    <row r="27" ht="70.5" customHeight="1">
      <c r="A27" s="6">
</c>
      <c r="B27" s="6">
</c>
      <c r="C27" s="9">
</c>
      <c r="D27" s="9">
</c>
      <c r="E27" s="6">
</c>
      <c r="F27" s="5">
</c>
      <c r="G27" s="10" cm="1" t="str">
        <f t="array" ref="G27">IF(F27="","",SUBSTITUTE(SUBSTITUTE(SUBSTITUTE(SUBSTITUTE(F27,"&lt;li&gt;",CHAR(10)),"&lt;/li&gt;",""),"&lt;br&gt;",CHAR(10)),"&lt;strong&gt;",""))</f>
        <v/>
      </c>
      <c r="H27" s="10" cm="1" t="str">
        <f t="array" ref="H27">IF(G27="","",SUBSTITUTE(SUBSTITUTE(SUBSTITUTE(SUBSTITUTE(SUBSTITUTE(G27,"&lt;p&gt;",""),"&lt;/p&gt;",""),"&lt;ul&gt;",""),"&lt;/ul&gt;",""),"&lt;/strong&gt;",""))</f>
        <v/>
      </c>
      <c r="I27" s="11" cm="1" t="str">
        <f t="array" ref="I27">IF(C27="","",IF(OR(H27="",H27=0,H27=FALSE),"-",H27))</f>
        <v/>
      </c>
      <c r="J27" s="5">
</c>
      <c r="K27" s="6">
</c>
      <c r="L27" s="6" cm="1" t="str">
        <f t="array" ref="L27">IF(C27="","",IF(K27="Mort / Plus rien à faire","KO","OK"))</f>
        <v/>
      </c>
      <c r="M27" s="12">
</c>
      <c r="N27" s="12" cm="1" t="str">
        <f t="array" ref="N27">IF(OR(C27="",M27="",M27=0),"",M27)</f>
        <v/>
      </c>
      <c r="O27" s="12">
</c>
      <c r="P27" s="12" cm="1" t="str">
        <f t="array" ref="P27">IF(C27="","",IF(OR(O27="",O27=0),"-",O27))</f>
        <v/>
      </c>
      <c r="Q27" s="13">
</c>
      <c r="R27" s="9" cm="1" t="str">
        <f t="array" ref="R27">IF(C27="","",ROUND(Q27/1000000,3)&amp;" M€")</f>
        <v/>
      </c>
      <c r="S27" s="9">
</c>
      <c r="T27" s="9" cm="1" t="str">
        <f t="array" ref="T27">IF(C27="","",SUBSTITUTE(S27,"","")&amp;"%")</f>
        <v/>
      </c>
      <c r="U27" s="6" cm="1" t="str">
        <f t="array" ref="U27">IF(($N27="")*($P27=""),"",IF(($N27&lt;&gt;"")*($N27&gt;TODAY()-9)*($N27&lt;TODAY()+1)*($P27&lt;&gt;"")*($P27&gt;=TODAY())*($P27&lt;=TODAY()+13),"Semaine passée &amp; à venir",IF(($N27&lt;&gt;"")*($N27&gt;TODAY()-9)*($N27&lt;TODAY()+1),"Semaine passée",IF(($P27&lt;&gt;"")*($P27&gt;=TODAY())*($P27&lt;=TODAY()+13),"À venir","Autre"))))</f>
        <v/>
      </c>
      <c r="V27" s="5" cm="1" t="n">
        <f t="array" ref="V27">IF(C27&lt;&gt;"",1,0)</f>
        <v>0</v>
      </c>
      <c r="W27" s="5">
</c>
      <c r="X27" s="5">
</c>
      <c r="Y27" s="5">
</c>
      <c r="Z27" s="5">
</c>
      <c r="AA27" s="5">
</c>
      <c r="AB27" s="5">
</c>
      <c r="AC27" s="5">
</c>
      <c r="AD27" s="5">
</c>
      <c r="AE27" s="5">
</c>
      <c r="AF27" s="5">
</c>
      <c r="AG27" s="5">
</c>
      <c r="AH27" s="5">
</c>
      <c r="AI27" s="5">
</c>
      <c r="AJ27" s="5">
</c>
    </row>
    <row r="28" ht="70.5" customHeight="1">
      <c r="A28" s="6">
</c>
      <c r="B28" s="6">
</c>
      <c r="C28" s="9">
</c>
      <c r="D28" s="9">
</c>
      <c r="E28" s="6">
</c>
      <c r="F28" s="5">
</c>
      <c r="G28" s="10" cm="1" t="str">
        <f t="array" ref="G28">IF(F28="","",SUBSTITUTE(SUBSTITUTE(SUBSTITUTE(SUBSTITUTE(F28,"&lt;li&gt;",CHAR(10)),"&lt;/li&gt;",""),"&lt;br&gt;",CHAR(10)),"&lt;strong&gt;",""))</f>
        <v/>
      </c>
      <c r="H28" s="10" cm="1" t="str">
        <f t="array" ref="H28">IF(G28="","",SUBSTITUTE(SUBSTITUTE(SUBSTITUTE(SUBSTITUTE(SUBSTITUTE(G28,"&lt;p&gt;",""),"&lt;/p&gt;",""),"&lt;ul&gt;",""),"&lt;/ul&gt;",""),"&lt;/strong&gt;",""))</f>
        <v/>
      </c>
      <c r="I28" s="11" cm="1" t="str">
        <f t="array" ref="I28">IF(C28="","",IF(OR(H28="",H28=0,H28=FALSE),"-",H28))</f>
        <v/>
      </c>
      <c r="J28" s="5">
</c>
      <c r="K28" s="6">
</c>
      <c r="L28" s="6" cm="1" t="str">
        <f t="array" ref="L28">IF(C28="","",IF(K28="Mort / Plus rien à faire","KO","OK"))</f>
        <v/>
      </c>
      <c r="M28" s="12">
</c>
      <c r="N28" s="12" cm="1" t="str">
        <f t="array" ref="N28">IF(OR(C28="",M28="",M28=0),"",M28)</f>
        <v/>
      </c>
      <c r="O28" s="12">
</c>
      <c r="P28" s="12" cm="1" t="str">
        <f t="array" ref="P28">IF(C28="","",IF(OR(O28="",O28=0),"-",O28))</f>
        <v/>
      </c>
      <c r="Q28" s="13">
</c>
      <c r="R28" s="9" cm="1" t="str">
        <f t="array" ref="R28">IF(C28="","",ROUND(Q28/1000000,3)&amp;" M€")</f>
        <v/>
      </c>
      <c r="S28" s="9">
</c>
      <c r="T28" s="9" cm="1" t="str">
        <f t="array" ref="T28">IF(C28="","",SUBSTITUTE(S28,"","")&amp;"%")</f>
        <v/>
      </c>
      <c r="U28" s="6" cm="1" t="str">
        <f t="array" ref="U28">IF(($N28="")*($P28=""),"",IF(($N28&lt;&gt;"")*($N28&gt;TODAY()-9)*($N28&lt;TODAY()+1)*($P28&lt;&gt;"")*($P28&gt;=TODAY())*($P28&lt;=TODAY()+13),"Semaine passée &amp; à venir",IF(($N28&lt;&gt;"")*($N28&gt;TODAY()-9)*($N28&lt;TODAY()+1),"Semaine passée",IF(($P28&lt;&gt;"")*($P28&gt;=TODAY())*($P28&lt;=TODAY()+13),"À venir","Autre"))))</f>
        <v/>
      </c>
      <c r="V28" s="5" cm="1" t="n">
        <f t="array" ref="V28">IF(C28&lt;&gt;"",1,0)</f>
        <v>0</v>
      </c>
      <c r="W28" s="5">
</c>
      <c r="X28" s="5">
</c>
      <c r="Y28" s="5">
</c>
      <c r="Z28" s="5">
</c>
      <c r="AA28" s="5">
</c>
      <c r="AB28" s="5">
</c>
      <c r="AC28" s="5">
</c>
      <c r="AD28" s="5">
</c>
      <c r="AE28" s="5">
</c>
      <c r="AF28" s="5">
</c>
      <c r="AG28" s="5">
</c>
      <c r="AH28" s="5">
</c>
      <c r="AI28" s="5">
</c>
      <c r="AJ28" s="5">
</c>
    </row>
    <row r="29" ht="70.5" customHeight="1">
      <c r="A29" s="6">
</c>
      <c r="B29" s="6">
</c>
      <c r="C29" s="9">
</c>
      <c r="D29" s="9">
</c>
      <c r="E29" s="6">
</c>
      <c r="F29" s="5">
</c>
      <c r="G29" s="10" cm="1" t="str">
        <f t="array" ref="G29">IF(F29="","",SUBSTITUTE(SUBSTITUTE(SUBSTITUTE(SUBSTITUTE(F29,"&lt;li&gt;",CHAR(10)),"&lt;/li&gt;",""),"&lt;br&gt;",CHAR(10)),"&lt;strong&gt;",""))</f>
        <v/>
      </c>
      <c r="H29" s="10" cm="1" t="str">
        <f t="array" ref="H29">IF(G29="","",SUBSTITUTE(SUBSTITUTE(SUBSTITUTE(SUBSTITUTE(SUBSTITUTE(G29,"&lt;p&gt;",""),"&lt;/p&gt;",""),"&lt;ul&gt;",""),"&lt;/ul&gt;",""),"&lt;/strong&gt;",""))</f>
        <v/>
      </c>
      <c r="I29" s="11" cm="1" t="str">
        <f t="array" ref="I29">IF(C29="","",IF(OR(H29="",H29=0,H29=FALSE),"-",H29))</f>
        <v/>
      </c>
      <c r="J29" s="5">
</c>
      <c r="K29" s="6">
</c>
      <c r="L29" s="6" cm="1" t="str">
        <f t="array" ref="L29">IF(C29="","",IF(K29="Mort / Plus rien à faire","KO","OK"))</f>
        <v/>
      </c>
      <c r="M29" s="12">
</c>
      <c r="N29" s="12" cm="1" t="str">
        <f t="array" ref="N29">IF(OR(C29="",M29="",M29=0),"",M29)</f>
        <v/>
      </c>
      <c r="O29" s="12">
</c>
      <c r="P29" s="12" cm="1" t="str">
        <f t="array" ref="P29">IF(C29="","",IF(OR(O29="",O29=0),"-",O29))</f>
        <v/>
      </c>
      <c r="Q29" s="13">
</c>
      <c r="R29" s="9" cm="1" t="str">
        <f t="array" ref="R29">IF(C29="","",ROUND(Q29/1000000,3)&amp;" M€")</f>
        <v/>
      </c>
      <c r="S29" s="9">
</c>
      <c r="T29" s="9" cm="1" t="str">
        <f t="array" ref="T29">IF(C29="","",SUBSTITUTE(S29,"","")&amp;"%")</f>
        <v/>
      </c>
      <c r="U29" s="6" cm="1" t="str">
        <f t="array" ref="U29">IF(($N29="")*($P29=""),"",IF(($N29&lt;&gt;"")*($N29&gt;TODAY()-9)*($N29&lt;TODAY()+1)*($P29&lt;&gt;"")*($P29&gt;=TODAY())*($P29&lt;=TODAY()+13),"Semaine passée &amp; à venir",IF(($N29&lt;&gt;"")*($N29&gt;TODAY()-9)*($N29&lt;TODAY()+1),"Semaine passée",IF(($P29&lt;&gt;"")*($P29&gt;=TODAY())*($P29&lt;=TODAY()+13),"À venir","Autre"))))</f>
        <v/>
      </c>
      <c r="V29" s="5" cm="1" t="n">
        <f t="array" ref="V29">IF(C29&lt;&gt;"",1,0)</f>
        <v>0</v>
      </c>
      <c r="W29" s="5">
</c>
      <c r="X29" s="5">
</c>
      <c r="Y29" s="5">
</c>
      <c r="Z29" s="5">
</c>
      <c r="AA29" s="5">
</c>
      <c r="AB29" s="5">
</c>
      <c r="AC29" s="5">
</c>
      <c r="AD29" s="5">
</c>
      <c r="AE29" s="5">
</c>
      <c r="AF29" s="5">
</c>
      <c r="AG29" s="5">
</c>
      <c r="AH29" s="5">
</c>
      <c r="AI29" s="5">
</c>
      <c r="AJ29" s="5">
</c>
    </row>
    <row r="30" ht="70.5" customHeight="1">
      <c r="A30" s="6">
</c>
      <c r="B30" s="6">
</c>
      <c r="C30" s="9">
</c>
      <c r="D30" s="9">
</c>
      <c r="E30" s="6">
</c>
      <c r="F30" s="5">
</c>
      <c r="G30" s="10" cm="1" t="str">
        <f t="array" ref="G30">IF(F30="","",SUBSTITUTE(SUBSTITUTE(SUBSTITUTE(SUBSTITUTE(F30,"&lt;li&gt;",CHAR(10)),"&lt;/li&gt;",""),"&lt;br&gt;",CHAR(10)),"&lt;strong&gt;",""))</f>
        <v/>
      </c>
      <c r="H30" s="10" cm="1" t="str">
        <f t="array" ref="H30">IF(G30="","",SUBSTITUTE(SUBSTITUTE(SUBSTITUTE(SUBSTITUTE(SUBSTITUTE(G30,"&lt;p&gt;",""),"&lt;/p&gt;",""),"&lt;ul&gt;",""),"&lt;/ul&gt;",""),"&lt;/strong&gt;",""))</f>
        <v/>
      </c>
      <c r="I30" s="11" cm="1" t="str">
        <f t="array" ref="I30">IF(C30="","",IF(OR(H30="",H30=0,H30=FALSE),"-",H30))</f>
        <v/>
      </c>
      <c r="J30" s="5">
</c>
      <c r="K30" s="6">
</c>
      <c r="L30" s="6" cm="1" t="str">
        <f t="array" ref="L30">IF(C30="","",IF(K30="Mort / Plus rien à faire","KO","OK"))</f>
        <v/>
      </c>
      <c r="M30" s="12">
</c>
      <c r="N30" s="12" cm="1" t="str">
        <f t="array" ref="N30">IF(OR(C30="",M30="",M30=0),"",M30)</f>
        <v/>
      </c>
      <c r="O30" s="12">
</c>
      <c r="P30" s="12" cm="1" t="str">
        <f t="array" ref="P30">IF(C30="","",IF(OR(O30="",O30=0),"-",O30))</f>
        <v/>
      </c>
      <c r="Q30" s="13">
</c>
      <c r="R30" s="9" cm="1" t="str">
        <f t="array" ref="R30">IF(C30="","",ROUND(Q30/1000000,3)&amp;" M€")</f>
        <v/>
      </c>
      <c r="S30" s="9">
</c>
      <c r="T30" s="9" cm="1" t="str">
        <f t="array" ref="T30">IF(C30="","",SUBSTITUTE(S30,"","")&amp;"%")</f>
        <v/>
      </c>
      <c r="U30" s="6" cm="1" t="str">
        <f t="array" ref="U30">IF(($N30="")*($P30=""),"",IF(($N30&lt;&gt;"")*($N30&gt;TODAY()-9)*($N30&lt;TODAY()+1)*($P30&lt;&gt;"")*($P30&gt;=TODAY())*($P30&lt;=TODAY()+13),"Semaine passée &amp; à venir",IF(($N30&lt;&gt;"")*($N30&gt;TODAY()-9)*($N30&lt;TODAY()+1),"Semaine passée",IF(($P30&lt;&gt;"")*($P30&gt;=TODAY())*($P30&lt;=TODAY()+13),"À venir","Autre"))))</f>
        <v/>
      </c>
      <c r="V30" s="5" cm="1" t="n">
        <f t="array" ref="V30">IF(C30&lt;&gt;"",1,0)</f>
        <v>0</v>
      </c>
      <c r="W30" s="5">
</c>
      <c r="X30" s="5">
</c>
      <c r="Y30" s="5">
</c>
      <c r="Z30" s="5">
</c>
      <c r="AA30" s="5">
</c>
      <c r="AB30" s="5">
</c>
      <c r="AC30" s="5">
</c>
      <c r="AD30" s="5">
</c>
      <c r="AE30" s="5">
</c>
      <c r="AF30" s="5">
</c>
      <c r="AG30" s="5">
</c>
      <c r="AH30" s="5">
</c>
      <c r="AI30" s="5">
</c>
      <c r="AJ30" s="5">
</c>
    </row>
    <row r="31" ht="70.5" customHeight="1">
      <c r="A31" s="6">
</c>
      <c r="B31" s="6">
</c>
      <c r="C31" s="9">
</c>
      <c r="D31" s="9">
</c>
      <c r="E31" s="6">
</c>
      <c r="F31" s="5">
</c>
      <c r="G31" s="10" cm="1" t="str">
        <f t="array" ref="G31">IF(F31="","",SUBSTITUTE(SUBSTITUTE(SUBSTITUTE(SUBSTITUTE(F31,"&lt;li&gt;",CHAR(10)),"&lt;/li&gt;",""),"&lt;br&gt;",CHAR(10)),"&lt;strong&gt;",""))</f>
        <v/>
      </c>
      <c r="H31" s="10" cm="1" t="str">
        <f t="array" ref="H31">IF(G31="","",SUBSTITUTE(SUBSTITUTE(SUBSTITUTE(SUBSTITUTE(SUBSTITUTE(G31,"&lt;p&gt;",""),"&lt;/p&gt;",""),"&lt;ul&gt;",""),"&lt;/ul&gt;",""),"&lt;/strong&gt;",""))</f>
        <v/>
      </c>
      <c r="I31" s="11" cm="1" t="str">
        <f t="array" ref="I31">IF(C31="","",IF(OR(H31="",H31=0,H31=FALSE),"-",H31))</f>
        <v/>
      </c>
      <c r="J31" s="5">
</c>
      <c r="K31" s="6">
</c>
      <c r="L31" s="6" cm="1" t="str">
        <f t="array" ref="L31">IF(C31="","",IF(K31="Mort / Plus rien à faire","KO","OK"))</f>
        <v/>
      </c>
      <c r="M31" s="12">
</c>
      <c r="N31" s="12" cm="1" t="str">
        <f t="array" ref="N31">IF(OR(C31="",M31="",M31=0),"",M31)</f>
        <v/>
      </c>
      <c r="O31" s="12">
</c>
      <c r="P31" s="12" cm="1" t="str">
        <f t="array" ref="P31">IF(C31="","",IF(OR(O31="",O31=0),"-",O31))</f>
        <v/>
      </c>
      <c r="Q31" s="13">
</c>
      <c r="R31" s="9" cm="1" t="str">
        <f t="array" ref="R31">IF(C31="","",ROUND(Q31/1000000,3)&amp;" M€")</f>
        <v/>
      </c>
      <c r="S31" s="9">
</c>
      <c r="T31" s="9" cm="1" t="str">
        <f t="array" ref="T31">IF(C31="","",SUBSTITUTE(S31,"","")&amp;"%")</f>
        <v/>
      </c>
      <c r="U31" s="6" cm="1" t="str">
        <f t="array" ref="U31">IF(($N31="")*($P31=""),"",IF(($N31&lt;&gt;"")*($N31&gt;TODAY()-9)*($N31&lt;TODAY()+1)*($P31&lt;&gt;"")*($P31&gt;=TODAY())*($P31&lt;=TODAY()+13),"Semaine passée &amp; à venir",IF(($N31&lt;&gt;"")*($N31&gt;TODAY()-9)*($N31&lt;TODAY()+1),"Semaine passée",IF(($P31&lt;&gt;"")*($P31&gt;=TODAY())*($P31&lt;=TODAY()+13),"À venir","Autre"))))</f>
        <v/>
      </c>
      <c r="V31" s="5" cm="1" t="n">
        <f t="array" ref="V31">IF(C31&lt;&gt;"",1,0)</f>
        <v>0</v>
      </c>
      <c r="W31" s="5">
</c>
      <c r="X31" s="5">
</c>
      <c r="Y31" s="5">
</c>
      <c r="Z31" s="5">
</c>
      <c r="AA31" s="5">
</c>
      <c r="AB31" s="5">
</c>
      <c r="AC31" s="5">
</c>
      <c r="AD31" s="5">
</c>
      <c r="AE31" s="5">
</c>
      <c r="AF31" s="5">
</c>
      <c r="AG31" s="5">
</c>
      <c r="AH31" s="5">
</c>
      <c r="AI31" s="5">
</c>
      <c r="AJ31" s="5">
</c>
    </row>
    <row r="32" ht="70.5" customHeight="1">
      <c r="A32" s="6">
</c>
      <c r="B32" s="6">
</c>
      <c r="C32" s="9">
</c>
      <c r="D32" s="9">
</c>
      <c r="E32" s="6">
</c>
      <c r="F32" s="5">
</c>
      <c r="G32" s="10" cm="1" t="str">
        <f t="array" ref="G32">IF(F32="","",SUBSTITUTE(SUBSTITUTE(SUBSTITUTE(SUBSTITUTE(F32,"&lt;li&gt;",CHAR(10)),"&lt;/li&gt;",""),"&lt;br&gt;",CHAR(10)),"&lt;strong&gt;",""))</f>
        <v/>
      </c>
      <c r="H32" s="10" cm="1" t="str">
        <f t="array" ref="H32">IF(G32="","",SUBSTITUTE(SUBSTITUTE(SUBSTITUTE(SUBSTITUTE(SUBSTITUTE(G32,"&lt;p&gt;",""),"&lt;/p&gt;",""),"&lt;ul&gt;",""),"&lt;/ul&gt;",""),"&lt;/strong&gt;",""))</f>
        <v/>
      </c>
      <c r="I32" s="11" cm="1" t="str">
        <f t="array" ref="I32">IF(C32="","",IF(OR(H32="",H32=0,H32=FALSE),"-",H32))</f>
        <v/>
      </c>
      <c r="J32" s="5">
</c>
      <c r="K32" s="6">
</c>
      <c r="L32" s="6" cm="1" t="str">
        <f t="array" ref="L32">IF(C32="","",IF(K32="Mort / Plus rien à faire","KO","OK"))</f>
        <v/>
      </c>
      <c r="M32" s="12">
</c>
      <c r="N32" s="12" cm="1" t="str">
        <f t="array" ref="N32">IF(OR(C32="",M32="",M32=0),"",M32)</f>
        <v/>
      </c>
      <c r="O32" s="12">
</c>
      <c r="P32" s="12" cm="1" t="str">
        <f t="array" ref="P32">IF(C32="","",IF(OR(O32="",O32=0),"-",O32))</f>
        <v/>
      </c>
      <c r="Q32" s="13">
</c>
      <c r="R32" s="9" cm="1" t="str">
        <f t="array" ref="R32">IF(C32="","",ROUND(Q32/1000000,3)&amp;" M€")</f>
        <v/>
      </c>
      <c r="S32" s="9">
</c>
      <c r="T32" s="9" cm="1" t="str">
        <f t="array" ref="T32">IF(C32="","",SUBSTITUTE(S32,"","")&amp;"%")</f>
        <v/>
      </c>
      <c r="U32" s="6" cm="1" t="str">
        <f t="array" ref="U32">IF(($N32="")*($P32=""),"",IF(($N32&lt;&gt;"")*($N32&gt;TODAY()-9)*($N32&lt;TODAY()+1)*($P32&lt;&gt;"")*($P32&gt;=TODAY())*($P32&lt;=TODAY()+13),"Semaine passée &amp; à venir",IF(($N32&lt;&gt;"")*($N32&gt;TODAY()-9)*($N32&lt;TODAY()+1),"Semaine passée",IF(($P32&lt;&gt;"")*($P32&gt;=TODAY())*($P32&lt;=TODAY()+13),"À venir","Autre"))))</f>
        <v/>
      </c>
      <c r="V32" s="5" cm="1" t="n">
        <f t="array" ref="V32">IF(C32&lt;&gt;"",1,0)</f>
        <v>0</v>
      </c>
      <c r="W32" s="5">
</c>
      <c r="X32" s="5">
</c>
      <c r="Y32" s="5">
</c>
      <c r="Z32" s="5">
</c>
      <c r="AA32" s="5">
</c>
      <c r="AB32" s="5">
</c>
      <c r="AC32" s="5">
</c>
      <c r="AD32" s="5">
</c>
      <c r="AE32" s="5">
</c>
      <c r="AF32" s="5">
</c>
      <c r="AG32" s="5">
</c>
      <c r="AH32" s="5">
</c>
      <c r="AI32" s="5">
</c>
      <c r="AJ32" s="5">
</c>
    </row>
    <row r="33" ht="70.5" customHeight="1">
      <c r="A33" s="6">
</c>
      <c r="B33" s="6">
</c>
      <c r="C33" s="9">
</c>
      <c r="D33" s="9">
</c>
      <c r="E33" s="6">
</c>
      <c r="F33" s="5">
</c>
      <c r="G33" s="10" cm="1" t="str">
        <f t="array" ref="G33">IF(F33="","",SUBSTITUTE(SUBSTITUTE(SUBSTITUTE(SUBSTITUTE(F33,"&lt;li&gt;",CHAR(10)),"&lt;/li&gt;",""),"&lt;br&gt;",CHAR(10)),"&lt;strong&gt;",""))</f>
        <v/>
      </c>
      <c r="H33" s="10" cm="1" t="str">
        <f t="array" ref="H33">IF(G33="","",SUBSTITUTE(SUBSTITUTE(SUBSTITUTE(SUBSTITUTE(SUBSTITUTE(G33,"&lt;p&gt;",""),"&lt;/p&gt;",""),"&lt;ul&gt;",""),"&lt;/ul&gt;",""),"&lt;/strong&gt;",""))</f>
        <v/>
      </c>
      <c r="I33" s="11" cm="1" t="str">
        <f t="array" ref="I33">IF(C33="","",IF(OR(H33="",H33=0,H33=FALSE),"-",H33))</f>
        <v/>
      </c>
      <c r="J33" s="5">
</c>
      <c r="K33" s="6">
</c>
      <c r="L33" s="6" cm="1" t="str">
        <f t="array" ref="L33">IF(C33="","",IF(K33="Mort / Plus rien à faire","KO","OK"))</f>
        <v/>
      </c>
      <c r="M33" s="12">
</c>
      <c r="N33" s="12" cm="1" t="str">
        <f t="array" ref="N33">IF(OR(C33="",M33="",M33=0),"",M33)</f>
        <v/>
      </c>
      <c r="O33" s="12">
</c>
      <c r="P33" s="12" cm="1" t="str">
        <f t="array" ref="P33">IF(C33="","",IF(OR(O33="",O33=0),"-",O33))</f>
        <v/>
      </c>
      <c r="Q33" s="13">
</c>
      <c r="R33" s="9" cm="1" t="str">
        <f t="array" ref="R33">IF(C33="","",ROUND(Q33/1000000,3)&amp;" M€")</f>
        <v/>
      </c>
      <c r="S33" s="9">
</c>
      <c r="T33" s="9" cm="1" t="str">
        <f t="array" ref="T33">IF(C33="","",SUBSTITUTE(S33,"","")&amp;"%")</f>
        <v/>
      </c>
      <c r="U33" s="6" cm="1" t="str">
        <f t="array" ref="U33">IF(($N33="")*($P33=""),"",IF(($N33&lt;&gt;"")*($N33&gt;TODAY()-9)*($N33&lt;TODAY()+1)*($P33&lt;&gt;"")*($P33&gt;=TODAY())*($P33&lt;=TODAY()+13),"Semaine passée &amp; à venir",IF(($N33&lt;&gt;"")*($N33&gt;TODAY()-9)*($N33&lt;TODAY()+1),"Semaine passée",IF(($P33&lt;&gt;"")*($P33&gt;=TODAY())*($P33&lt;=TODAY()+13),"À venir","Autre"))))</f>
        <v/>
      </c>
      <c r="V33" s="5" cm="1" t="n">
        <f t="array" ref="V33">IF(C33&lt;&gt;"",1,0)</f>
        <v>0</v>
      </c>
      <c r="W33" s="5">
</c>
      <c r="X33" s="5">
</c>
      <c r="Y33" s="5">
</c>
      <c r="Z33" s="5">
</c>
      <c r="AA33" s="5">
</c>
      <c r="AB33" s="5">
</c>
      <c r="AC33" s="5">
</c>
      <c r="AD33" s="5">
</c>
      <c r="AE33" s="5">
</c>
      <c r="AF33" s="5">
</c>
      <c r="AG33" s="5">
</c>
      <c r="AH33" s="5">
</c>
      <c r="AI33" s="5">
</c>
      <c r="AJ33" s="5">
</c>
    </row>
    <row r="34" ht="70.5" customHeight="1">
      <c r="A34" s="6">
</c>
      <c r="B34" s="6">
</c>
      <c r="C34" s="9">
</c>
      <c r="D34" s="9">
</c>
      <c r="E34" s="6">
</c>
      <c r="F34" s="5">
</c>
      <c r="G34" s="10" cm="1" t="str">
        <f t="array" ref="G34">IF(F34="","",SUBSTITUTE(SUBSTITUTE(SUBSTITUTE(SUBSTITUTE(F34,"&lt;li&gt;",CHAR(10)),"&lt;/li&gt;",""),"&lt;br&gt;",CHAR(10)),"&lt;strong&gt;",""))</f>
        <v/>
      </c>
      <c r="H34" s="10" cm="1" t="str">
        <f t="array" ref="H34">IF(G34="","",SUBSTITUTE(SUBSTITUTE(SUBSTITUTE(SUBSTITUTE(SUBSTITUTE(G34,"&lt;p&gt;",""),"&lt;/p&gt;",""),"&lt;ul&gt;",""),"&lt;/ul&gt;",""),"&lt;/strong&gt;",""))</f>
        <v/>
      </c>
      <c r="I34" s="11" cm="1" t="str">
        <f t="array" ref="I34">IF(C34="","",IF(OR(H34="",H34=0,H34=FALSE),"-",H34))</f>
        <v/>
      </c>
      <c r="J34" s="5">
</c>
      <c r="K34" s="6">
</c>
      <c r="L34" s="6" cm="1" t="str">
        <f t="array" ref="L34">IF(C34="","",IF(K34="Mort / Plus rien à faire","KO","OK"))</f>
        <v/>
      </c>
      <c r="M34" s="12">
</c>
      <c r="N34" s="12" cm="1" t="str">
        <f t="array" ref="N34">IF(OR(C34="",M34="",M34=0),"",M34)</f>
        <v/>
      </c>
      <c r="O34" s="12">
</c>
      <c r="P34" s="12" cm="1" t="str">
        <f t="array" ref="P34">IF(C34="","",IF(OR(O34="",O34=0),"-",O34))</f>
        <v/>
      </c>
      <c r="Q34" s="13">
</c>
      <c r="R34" s="9" cm="1" t="str">
        <f t="array" ref="R34">IF(C34="","",ROUND(Q34/1000000,3)&amp;" M€")</f>
        <v/>
      </c>
      <c r="S34" s="9">
</c>
      <c r="T34" s="9" cm="1" t="str">
        <f t="array" ref="T34">IF(C34="","",SUBSTITUTE(S34,"","")&amp;"%")</f>
        <v/>
      </c>
      <c r="U34" s="6" cm="1" t="str">
        <f t="array" ref="U34">IF(($N34="")*($P34=""),"",IF(($N34&lt;&gt;"")*($N34&gt;TODAY()-9)*($N34&lt;TODAY()+1)*($P34&lt;&gt;"")*($P34&gt;=TODAY())*($P34&lt;=TODAY()+13),"Semaine passée &amp; à venir",IF(($N34&lt;&gt;"")*($N34&gt;TODAY()-9)*($N34&lt;TODAY()+1),"Semaine passée",IF(($P34&lt;&gt;"")*($P34&gt;=TODAY())*($P34&lt;=TODAY()+13),"À venir","Autre"))))</f>
        <v/>
      </c>
      <c r="V34" s="5" cm="1" t="n">
        <f t="array" ref="V34">IF(C34&lt;&gt;"",1,0)</f>
        <v>0</v>
      </c>
      <c r="W34" s="5">
</c>
      <c r="X34" s="5">
</c>
      <c r="Y34" s="5">
</c>
      <c r="Z34" s="5">
</c>
      <c r="AA34" s="5">
</c>
      <c r="AB34" s="5">
</c>
      <c r="AC34" s="5">
</c>
      <c r="AD34" s="5">
</c>
      <c r="AE34" s="5">
</c>
      <c r="AF34" s="5">
</c>
      <c r="AG34" s="5">
</c>
      <c r="AH34" s="5">
</c>
      <c r="AI34" s="5">
</c>
      <c r="AJ34" s="5">
</c>
    </row>
    <row r="35" ht="70.5" customHeight="1">
      <c r="A35" s="6">
</c>
      <c r="B35" s="6">
</c>
      <c r="C35" s="9">
</c>
      <c r="D35" s="9">
</c>
      <c r="E35" s="6">
</c>
      <c r="F35" s="5">
</c>
      <c r="G35" s="10" cm="1" t="str">
        <f t="array" ref="G35">IF(F35="","",SUBSTITUTE(SUBSTITUTE(SUBSTITUTE(SUBSTITUTE(F35,"&lt;li&gt;",CHAR(10)),"&lt;/li&gt;",""),"&lt;br&gt;",CHAR(10)),"&lt;strong&gt;",""))</f>
        <v/>
      </c>
      <c r="H35" s="10" cm="1" t="str">
        <f t="array" ref="H35">IF(G35="","",SUBSTITUTE(SUBSTITUTE(SUBSTITUTE(SUBSTITUTE(SUBSTITUTE(G35,"&lt;p&gt;",""),"&lt;/p&gt;",""),"&lt;ul&gt;",""),"&lt;/ul&gt;",""),"&lt;/strong&gt;",""))</f>
        <v/>
      </c>
      <c r="I35" s="11" cm="1" t="str">
        <f t="array" ref="I35">IF(C35="","",IF(OR(H35="",H35=0,H35=FALSE),"-",H35))</f>
        <v/>
      </c>
      <c r="J35" s="5">
</c>
      <c r="K35" s="6">
</c>
      <c r="L35" s="6" cm="1" t="str">
        <f t="array" ref="L35">IF(C35="","",IF(K35="Mort / Plus rien à faire","KO","OK"))</f>
        <v/>
      </c>
      <c r="M35" s="12">
</c>
      <c r="N35" s="12" cm="1" t="str">
        <f t="array" ref="N35">IF(OR(C35="",M35="",M35=0),"",M35)</f>
        <v/>
      </c>
      <c r="O35" s="12">
</c>
      <c r="P35" s="12" cm="1" t="str">
        <f t="array" ref="P35">IF(C35="","",IF(OR(O35="",O35=0),"-",O35))</f>
        <v/>
      </c>
      <c r="Q35" s="13">
</c>
      <c r="R35" s="9" cm="1" t="str">
        <f t="array" ref="R35">IF(C35="","",ROUND(Q35/1000000,3)&amp;" M€")</f>
        <v/>
      </c>
      <c r="S35" s="9">
</c>
      <c r="T35" s="9" cm="1" t="str">
        <f t="array" ref="T35">IF(C35="","",SUBSTITUTE(S35,"","")&amp;"%")</f>
        <v/>
      </c>
      <c r="U35" s="6" cm="1" t="str">
        <f t="array" ref="U35">IF(($N35="")*($P35=""),"",IF(($N35&lt;&gt;"")*($N35&gt;TODAY()-9)*($N35&lt;TODAY()+1)*($P35&lt;&gt;"")*($P35&gt;=TODAY())*($P35&lt;=TODAY()+13),"Semaine passée &amp; à venir",IF(($N35&lt;&gt;"")*($N35&gt;TODAY()-9)*($N35&lt;TODAY()+1),"Semaine passée",IF(($P35&lt;&gt;"")*($P35&gt;=TODAY())*($P35&lt;=TODAY()+13),"À venir","Autre"))))</f>
        <v/>
      </c>
      <c r="V35" s="5" cm="1" t="n">
        <f t="array" ref="V35">IF(C35&lt;&gt;"",1,0)</f>
        <v>0</v>
      </c>
      <c r="W35" s="5">
</c>
      <c r="X35" s="5">
</c>
      <c r="Y35" s="5">
</c>
      <c r="Z35" s="5">
</c>
      <c r="AA35" s="5">
</c>
      <c r="AB35" s="5">
</c>
      <c r="AC35" s="5">
</c>
      <c r="AD35" s="5">
</c>
      <c r="AE35" s="5">
</c>
      <c r="AF35" s="5">
</c>
      <c r="AG35" s="5">
</c>
      <c r="AH35" s="5">
</c>
      <c r="AI35" s="5">
</c>
      <c r="AJ35" s="5">
</c>
    </row>
    <row r="36" ht="70.5" customHeight="1">
      <c r="A36" s="6">
</c>
      <c r="B36" s="6">
</c>
      <c r="C36" s="9">
</c>
      <c r="D36" s="9">
</c>
      <c r="E36" s="6">
</c>
      <c r="F36" s="5">
</c>
      <c r="G36" s="10" cm="1" t="str">
        <f t="array" ref="G36">IF(F36="","",SUBSTITUTE(SUBSTITUTE(SUBSTITUTE(SUBSTITUTE(F36,"&lt;li&gt;",CHAR(10)),"&lt;/li&gt;",""),"&lt;br&gt;",CHAR(10)),"&lt;strong&gt;",""))</f>
        <v/>
      </c>
      <c r="H36" s="10" cm="1" t="str">
        <f t="array" ref="H36">IF(G36="","",SUBSTITUTE(SUBSTITUTE(SUBSTITUTE(SUBSTITUTE(SUBSTITUTE(G36,"&lt;p&gt;",""),"&lt;/p&gt;",""),"&lt;ul&gt;",""),"&lt;/ul&gt;",""),"&lt;/strong&gt;",""))</f>
        <v/>
      </c>
      <c r="I36" s="11" cm="1" t="str">
        <f t="array" ref="I36">IF(C36="","",IF(OR(H36="",H36=0,H36=FALSE),"-",H36))</f>
        <v/>
      </c>
      <c r="J36" s="5">
</c>
      <c r="K36" s="6">
</c>
      <c r="L36" s="6" cm="1" t="str">
        <f t="array" ref="L36">IF(C36="","",IF(K36="Mort / Plus rien à faire","KO","OK"))</f>
        <v/>
      </c>
      <c r="M36" s="12">
</c>
      <c r="N36" s="12" cm="1" t="str">
        <f t="array" ref="N36">IF(OR(C36="",M36="",M36=0),"",M36)</f>
        <v/>
      </c>
      <c r="O36" s="12">
</c>
      <c r="P36" s="12" cm="1" t="str">
        <f t="array" ref="P36">IF(C36="","",IF(OR(O36="",O36=0),"-",O36))</f>
        <v/>
      </c>
      <c r="Q36" s="13">
</c>
      <c r="R36" s="9" cm="1" t="str">
        <f t="array" ref="R36">IF(C36="","",ROUND(Q36/1000000,3)&amp;" M€")</f>
        <v/>
      </c>
      <c r="S36" s="9">
</c>
      <c r="T36" s="9" cm="1" t="str">
        <f t="array" ref="T36">IF(C36="","",SUBSTITUTE(S36,"","")&amp;"%")</f>
        <v/>
      </c>
      <c r="U36" s="6" cm="1" t="str">
        <f t="array" ref="U36">IF(($N36="")*($P36=""),"",IF(($N36&lt;&gt;"")*($N36&gt;TODAY()-9)*($N36&lt;TODAY()+1)*($P36&lt;&gt;"")*($P36&gt;=TODAY())*($P36&lt;=TODAY()+13),"Semaine passée &amp; à venir",IF(($N36&lt;&gt;"")*($N36&gt;TODAY()-9)*($N36&lt;TODAY()+1),"Semaine passée",IF(($P36&lt;&gt;"")*($P36&gt;=TODAY())*($P36&lt;=TODAY()+13),"À venir","Autre"))))</f>
        <v/>
      </c>
      <c r="V36" s="5" cm="1" t="n">
        <f t="array" ref="V36">IF(C36&lt;&gt;"",1,0)</f>
        <v>0</v>
      </c>
      <c r="W36" s="5">
</c>
      <c r="X36" s="5">
</c>
      <c r="Y36" s="5">
</c>
      <c r="Z36" s="5">
</c>
      <c r="AA36" s="5">
</c>
      <c r="AB36" s="5">
</c>
      <c r="AC36" s="5">
</c>
      <c r="AD36" s="5">
</c>
      <c r="AE36" s="5">
</c>
      <c r="AF36" s="5">
</c>
      <c r="AG36" s="5">
</c>
      <c r="AH36" s="5">
</c>
      <c r="AI36" s="5">
</c>
      <c r="AJ36" s="5">
</c>
    </row>
    <row r="37" ht="70.5" customHeight="1">
      <c r="A37" s="6">
</c>
      <c r="B37" s="6">
</c>
      <c r="C37" s="9">
</c>
      <c r="D37" s="9">
</c>
      <c r="E37" s="6">
</c>
      <c r="F37" s="5">
</c>
      <c r="G37" s="10" cm="1" t="str">
        <f t="array" ref="G37">IF(F37="","",SUBSTITUTE(SUBSTITUTE(SUBSTITUTE(SUBSTITUTE(F37,"&lt;li&gt;",CHAR(10)),"&lt;/li&gt;",""),"&lt;br&gt;",CHAR(10)),"&lt;strong&gt;",""))</f>
        <v/>
      </c>
      <c r="H37" s="10" cm="1" t="str">
        <f t="array" ref="H37">IF(G37="","",SUBSTITUTE(SUBSTITUTE(SUBSTITUTE(SUBSTITUTE(SUBSTITUTE(G37,"&lt;p&gt;",""),"&lt;/p&gt;",""),"&lt;ul&gt;",""),"&lt;/ul&gt;",""),"&lt;/strong&gt;",""))</f>
        <v/>
      </c>
      <c r="I37" s="11" cm="1" t="str">
        <f t="array" ref="I37">IF(C37="","",IF(OR(H37="",H37=0,H37=FALSE),"-",H37))</f>
        <v/>
      </c>
      <c r="J37" s="5">
</c>
      <c r="K37" s="6">
</c>
      <c r="L37" s="6" cm="1" t="str">
        <f t="array" ref="L37">IF(C37="","",IF(K37="Mort / Plus rien à faire","KO","OK"))</f>
        <v/>
      </c>
      <c r="M37" s="12">
</c>
      <c r="N37" s="12" cm="1" t="str">
        <f t="array" ref="N37">IF(OR(C37="",M37="",M37=0),"",M37)</f>
        <v/>
      </c>
      <c r="O37" s="12">
</c>
      <c r="P37" s="12" cm="1" t="str">
        <f t="array" ref="P37">IF(C37="","",IF(OR(O37="",O37=0),"-",O37))</f>
        <v/>
      </c>
      <c r="Q37" s="13">
</c>
      <c r="R37" s="9" cm="1" t="str">
        <f t="array" ref="R37">IF(C37="","",ROUND(Q37/1000000,3)&amp;" M€")</f>
        <v/>
      </c>
      <c r="S37" s="9">
</c>
      <c r="T37" s="9" cm="1" t="str">
        <f t="array" ref="T37">IF(C37="","",SUBSTITUTE(S37,"","")&amp;"%")</f>
        <v/>
      </c>
      <c r="U37" s="6" cm="1" t="str">
        <f t="array" ref="U37">IF(($N37="")*($P37=""),"",IF(($N37&lt;&gt;"")*($N37&gt;TODAY()-9)*($N37&lt;TODAY()+1)*($P37&lt;&gt;"")*($P37&gt;=TODAY())*($P37&lt;=TODAY()+13),"Semaine passée &amp; à venir",IF(($N37&lt;&gt;"")*($N37&gt;TODAY()-9)*($N37&lt;TODAY()+1),"Semaine passée",IF(($P37&lt;&gt;"")*($P37&gt;=TODAY())*($P37&lt;=TODAY()+13),"À venir","Autre"))))</f>
        <v/>
      </c>
      <c r="V37" s="5" cm="1" t="n">
        <f t="array" ref="V37">IF(C37&lt;&gt;"",1,0)</f>
        <v>0</v>
      </c>
      <c r="W37" s="5">
</c>
      <c r="X37" s="5">
</c>
      <c r="Y37" s="5">
</c>
      <c r="Z37" s="5">
</c>
      <c r="AA37" s="5">
</c>
      <c r="AB37" s="5">
</c>
      <c r="AC37" s="5">
</c>
      <c r="AD37" s="5">
</c>
      <c r="AE37" s="5">
</c>
      <c r="AF37" s="5">
</c>
      <c r="AG37" s="5">
</c>
      <c r="AH37" s="5">
</c>
      <c r="AI37" s="5">
</c>
      <c r="AJ37" s="5">
</c>
    </row>
    <row r="38" ht="70.5" customHeight="1">
      <c r="A38" s="6">
</c>
      <c r="B38" s="6">
</c>
      <c r="C38" s="9">
</c>
      <c r="D38" s="9">
</c>
      <c r="E38" s="6">
</c>
      <c r="F38" s="5">
</c>
      <c r="G38" s="10" cm="1" t="str">
        <f t="array" ref="G38">IF(F38="","",SUBSTITUTE(SUBSTITUTE(SUBSTITUTE(SUBSTITUTE(F38,"&lt;li&gt;",CHAR(10)),"&lt;/li&gt;",""),"&lt;br&gt;",CHAR(10)),"&lt;strong&gt;",""))</f>
        <v/>
      </c>
      <c r="H38" s="10" cm="1" t="str">
        <f t="array" ref="H38">IF(G38="","",SUBSTITUTE(SUBSTITUTE(SUBSTITUTE(SUBSTITUTE(SUBSTITUTE(G38,"&lt;p&gt;",""),"&lt;/p&gt;",""),"&lt;ul&gt;",""),"&lt;/ul&gt;",""),"&lt;/strong&gt;",""))</f>
        <v/>
      </c>
      <c r="I38" s="11" cm="1" t="str">
        <f t="array" ref="I38">IF(C38="","",IF(OR(H38="",H38=0,H38=FALSE),"-",H38))</f>
        <v/>
      </c>
      <c r="J38" s="5">
</c>
      <c r="K38" s="6">
</c>
      <c r="L38" s="6" cm="1" t="str">
        <f t="array" ref="L38">IF(C38="","",IF(K38="Mort / Plus rien à faire","KO","OK"))</f>
        <v/>
      </c>
      <c r="M38" s="12">
</c>
      <c r="N38" s="12" cm="1" t="str">
        <f t="array" ref="N38">IF(OR(C38="",M38="",M38=0),"",M38)</f>
        <v/>
      </c>
      <c r="O38" s="12">
</c>
      <c r="P38" s="12" cm="1" t="str">
        <f t="array" ref="P38">IF(C38="","",IF(OR(O38="",O38=0),"-",O38))</f>
        <v/>
      </c>
      <c r="Q38" s="13">
</c>
      <c r="R38" s="9" cm="1" t="str">
        <f t="array" ref="R38">IF(C38="","",ROUND(Q38/1000000,3)&amp;" M€")</f>
        <v/>
      </c>
      <c r="S38" s="9">
</c>
      <c r="T38" s="9" cm="1" t="str">
        <f t="array" ref="T38">IF(C38="","",SUBSTITUTE(S38,"","")&amp;"%")</f>
        <v/>
      </c>
      <c r="U38" s="6" cm="1" t="str">
        <f t="array" ref="U38">IF(($N38="")*($P38=""),"",IF(($N38&lt;&gt;"")*($N38&gt;TODAY()-9)*($N38&lt;TODAY()+1)*($P38&lt;&gt;"")*($P38&gt;=TODAY())*($P38&lt;=TODAY()+13),"Semaine passée &amp; à venir",IF(($N38&lt;&gt;"")*($N38&gt;TODAY()-9)*($N38&lt;TODAY()+1),"Semaine passée",IF(($P38&lt;&gt;"")*($P38&gt;=TODAY())*($P38&lt;=TODAY()+13),"À venir","Autre"))))</f>
        <v/>
      </c>
      <c r="V38" s="5" cm="1" t="n">
        <f t="array" ref="V38">IF(C38&lt;&gt;"",1,0)</f>
        <v>0</v>
      </c>
      <c r="W38" s="5">
</c>
      <c r="X38" s="5">
</c>
      <c r="Y38" s="5">
</c>
      <c r="Z38" s="5">
</c>
      <c r="AA38" s="5">
</c>
      <c r="AB38" s="5">
</c>
      <c r="AC38" s="5">
</c>
      <c r="AD38" s="5">
</c>
      <c r="AE38" s="5">
</c>
      <c r="AF38" s="5">
</c>
      <c r="AG38" s="5">
</c>
      <c r="AH38" s="5">
</c>
      <c r="AI38" s="5">
</c>
      <c r="AJ38" s="5">
</c>
    </row>
    <row r="39" ht="70.5" customHeight="1">
      <c r="A39" s="6">
</c>
      <c r="B39" s="6">
</c>
      <c r="C39" s="9">
</c>
      <c r="D39" s="9">
</c>
      <c r="E39" s="6">
</c>
      <c r="F39" s="5">
</c>
      <c r="G39" s="10" cm="1" t="str">
        <f t="array" ref="G39">IF(F39="","",SUBSTITUTE(SUBSTITUTE(SUBSTITUTE(SUBSTITUTE(F39,"&lt;li&gt;",CHAR(10)),"&lt;/li&gt;",""),"&lt;br&gt;",CHAR(10)),"&lt;strong&gt;",""))</f>
        <v/>
      </c>
      <c r="H39" s="10" cm="1" t="str">
        <f t="array" ref="H39">IF(G39="","",SUBSTITUTE(SUBSTITUTE(SUBSTITUTE(SUBSTITUTE(SUBSTITUTE(G39,"&lt;p&gt;",""),"&lt;/p&gt;",""),"&lt;ul&gt;",""),"&lt;/ul&gt;",""),"&lt;/strong&gt;",""))</f>
        <v/>
      </c>
      <c r="I39" s="11" cm="1" t="str">
        <f t="array" ref="I39">IF(C39="","",IF(OR(H39="",H39=0,H39=FALSE),"-",H39))</f>
        <v/>
      </c>
      <c r="J39" s="5">
</c>
      <c r="K39" s="6">
</c>
      <c r="L39" s="6" cm="1" t="str">
        <f t="array" ref="L39">IF(C39="","",IF(K39="Mort / Plus rien à faire","KO","OK"))</f>
        <v/>
      </c>
      <c r="M39" s="12">
</c>
      <c r="N39" s="12" cm="1" t="str">
        <f t="array" ref="N39">IF(OR(C39="",M39="",M39=0),"",M39)</f>
        <v/>
      </c>
      <c r="O39" s="12">
</c>
      <c r="P39" s="12" cm="1" t="str">
        <f t="array" ref="P39">IF(C39="","",IF(OR(O39="",O39=0),"-",O39))</f>
        <v/>
      </c>
      <c r="Q39" s="13">
</c>
      <c r="R39" s="9" cm="1" t="str">
        <f t="array" ref="R39">IF(C39="","",ROUND(Q39/1000000,3)&amp;" M€")</f>
        <v/>
      </c>
      <c r="S39" s="9">
</c>
      <c r="T39" s="9" cm="1" t="str">
        <f t="array" ref="T39">IF(C39="","",SUBSTITUTE(S39,"","")&amp;"%")</f>
        <v/>
      </c>
      <c r="U39" s="6" cm="1" t="str">
        <f t="array" ref="U39">IF(($N39="")*($P39=""),"",IF(($N39&lt;&gt;"")*($N39&gt;TODAY()-9)*($N39&lt;TODAY()+1)*($P39&lt;&gt;"")*($P39&gt;=TODAY())*($P39&lt;=TODAY()+13),"Semaine passée &amp; à venir",IF(($N39&lt;&gt;"")*($N39&gt;TODAY()-9)*($N39&lt;TODAY()+1),"Semaine passée",IF(($P39&lt;&gt;"")*($P39&gt;=TODAY())*($P39&lt;=TODAY()+13),"À venir","Autre"))))</f>
        <v/>
      </c>
      <c r="V39" s="5" cm="1" t="n">
        <f t="array" ref="V39">IF(C39&lt;&gt;"",1,0)</f>
        <v>0</v>
      </c>
      <c r="W39" s="5">
</c>
      <c r="X39" s="5">
</c>
      <c r="Y39" s="5">
</c>
      <c r="Z39" s="5">
</c>
      <c r="AA39" s="5">
</c>
      <c r="AB39" s="5">
</c>
      <c r="AC39" s="5">
</c>
      <c r="AD39" s="5">
</c>
      <c r="AE39" s="5">
</c>
      <c r="AF39" s="5">
</c>
      <c r="AG39" s="5">
</c>
      <c r="AH39" s="5">
</c>
      <c r="AI39" s="5">
</c>
      <c r="AJ39" s="5">
</c>
    </row>
    <row r="40" ht="70.5" customHeight="1">
      <c r="A40" s="6">
</c>
      <c r="B40" s="6">
</c>
      <c r="C40" s="9">
</c>
      <c r="D40" s="9">
</c>
      <c r="E40" s="6">
</c>
      <c r="F40" s="5">
</c>
      <c r="G40" s="10" cm="1" t="str">
        <f t="array" ref="G40">IF(F40="","",SUBSTITUTE(SUBSTITUTE(SUBSTITUTE(SUBSTITUTE(F40,"&lt;li&gt;",CHAR(10)),"&lt;/li&gt;",""),"&lt;br&gt;",CHAR(10)),"&lt;strong&gt;",""))</f>
        <v/>
      </c>
      <c r="H40" s="10" cm="1" t="str">
        <f t="array" ref="H40">IF(G40="","",SUBSTITUTE(SUBSTITUTE(SUBSTITUTE(SUBSTITUTE(SUBSTITUTE(G40,"&lt;p&gt;",""),"&lt;/p&gt;",""),"&lt;ul&gt;",""),"&lt;/ul&gt;",""),"&lt;/strong&gt;",""))</f>
        <v/>
      </c>
      <c r="I40" s="11" cm="1" t="str">
        <f t="array" ref="I40">IF(C40="","",IF(OR(H40="",H40=0,H40=FALSE),"-",H40))</f>
        <v/>
      </c>
      <c r="J40" s="5">
</c>
      <c r="K40" s="6">
</c>
      <c r="L40" s="6" cm="1" t="str">
        <f t="array" ref="L40">IF(C40="","",IF(K40="Mort / Plus rien à faire","KO","OK"))</f>
        <v/>
      </c>
      <c r="M40" s="12">
</c>
      <c r="N40" s="12" cm="1" t="str">
        <f t="array" ref="N40">IF(OR(C40="",M40="",M40=0),"",M40)</f>
        <v/>
      </c>
      <c r="O40" s="12">
</c>
      <c r="P40" s="12" cm="1" t="str">
        <f t="array" ref="P40">IF(C40="","",IF(OR(O40="",O40=0),"-",O40))</f>
        <v/>
      </c>
      <c r="Q40" s="13">
</c>
      <c r="R40" s="9" cm="1" t="str">
        <f t="array" ref="R40">IF(C40="","",ROUND(Q40/1000000,3)&amp;" M€")</f>
        <v/>
      </c>
      <c r="S40" s="9">
</c>
      <c r="T40" s="9" cm="1" t="str">
        <f t="array" ref="T40">IF(C40="","",SUBSTITUTE(S40,"","")&amp;"%")</f>
        <v/>
      </c>
      <c r="U40" s="6" cm="1" t="str">
        <f t="array" ref="U40">IF(($N40="")*($P40=""),"",IF(($N40&lt;&gt;"")*($N40&gt;TODAY()-9)*($N40&lt;TODAY()+1)*($P40&lt;&gt;"")*($P40&gt;=TODAY())*($P40&lt;=TODAY()+13),"Semaine passée &amp; à venir",IF(($N40&lt;&gt;"")*($N40&gt;TODAY()-9)*($N40&lt;TODAY()+1),"Semaine passée",IF(($P40&lt;&gt;"")*($P40&gt;=TODAY())*($P40&lt;=TODAY()+13),"À venir","Autre"))))</f>
        <v/>
      </c>
      <c r="V40" s="5" cm="1" t="n">
        <f t="array" ref="V40">IF(C40&lt;&gt;"",1,0)</f>
        <v>0</v>
      </c>
      <c r="W40" s="5">
</c>
      <c r="X40" s="5">
</c>
      <c r="Y40" s="5">
</c>
      <c r="Z40" s="5">
</c>
      <c r="AA40" s="5">
</c>
      <c r="AB40" s="5">
</c>
      <c r="AC40" s="5">
</c>
      <c r="AD40" s="5">
</c>
      <c r="AE40" s="5">
</c>
      <c r="AF40" s="5">
</c>
      <c r="AG40" s="5">
</c>
      <c r="AH40" s="5">
</c>
      <c r="AI40" s="5">
</c>
      <c r="AJ40" s="5">
</c>
    </row>
    <row r="41" ht="70.5" customHeight="1">
      <c r="A41" s="6">
</c>
      <c r="B41" s="6">
</c>
      <c r="C41" s="9">
</c>
      <c r="D41" s="9">
</c>
      <c r="E41" s="6">
</c>
      <c r="F41" s="5">
</c>
      <c r="G41" s="10" cm="1" t="str">
        <f t="array" ref="G41">IF(F41="","",SUBSTITUTE(SUBSTITUTE(SUBSTITUTE(SUBSTITUTE(F41,"&lt;li&gt;",CHAR(10)),"&lt;/li&gt;",""),"&lt;br&gt;",CHAR(10)),"&lt;strong&gt;",""))</f>
        <v/>
      </c>
      <c r="H41" s="10" cm="1" t="str">
        <f t="array" ref="H41">IF(G41="","",SUBSTITUTE(SUBSTITUTE(SUBSTITUTE(SUBSTITUTE(SUBSTITUTE(G41,"&lt;p&gt;",""),"&lt;/p&gt;",""),"&lt;ul&gt;",""),"&lt;/ul&gt;",""),"&lt;/strong&gt;",""))</f>
        <v/>
      </c>
      <c r="I41" s="11" cm="1" t="str">
        <f t="array" ref="I41">IF(C41="","",IF(OR(H41="",H41=0,H41=FALSE),"-",H41))</f>
        <v/>
      </c>
      <c r="J41" s="5">
</c>
      <c r="K41" s="6">
</c>
      <c r="L41" s="6" cm="1" t="str">
        <f t="array" ref="L41">IF(C41="","",IF(K41="Mort / Plus rien à faire","KO","OK"))</f>
        <v/>
      </c>
      <c r="M41" s="12">
</c>
      <c r="N41" s="12" cm="1" t="str">
        <f t="array" ref="N41">IF(OR(C41="",M41="",M41=0),"",M41)</f>
        <v/>
      </c>
      <c r="O41" s="12">
</c>
      <c r="P41" s="12" cm="1" t="str">
        <f t="array" ref="P41">IF(C41="","",IF(OR(O41="",O41=0),"-",O41))</f>
        <v/>
      </c>
      <c r="Q41" s="13">
</c>
      <c r="R41" s="9" cm="1" t="str">
        <f t="array" ref="R41">IF(C41="","",ROUND(Q41/1000000,3)&amp;" M€")</f>
        <v/>
      </c>
      <c r="S41" s="9">
</c>
      <c r="T41" s="9" cm="1" t="str">
        <f t="array" ref="T41">IF(C41="","",SUBSTITUTE(S41,"","")&amp;"%")</f>
        <v/>
      </c>
      <c r="U41" s="6" cm="1" t="str">
        <f t="array" ref="U41">IF(($N41="")*($P41=""),"",IF(($N41&lt;&gt;"")*($N41&gt;TODAY()-9)*($N41&lt;TODAY()+1)*($P41&lt;&gt;"")*($P41&gt;=TODAY())*($P41&lt;=TODAY()+13),"Semaine passée &amp; à venir",IF(($N41&lt;&gt;"")*($N41&gt;TODAY()-9)*($N41&lt;TODAY()+1),"Semaine passée",IF(($P41&lt;&gt;"")*($P41&gt;=TODAY())*($P41&lt;=TODAY()+13),"À venir","Autre"))))</f>
        <v/>
      </c>
      <c r="V41" s="5" cm="1" t="n">
        <f t="array" ref="V41">IF(C41&lt;&gt;"",1,0)</f>
        <v>0</v>
      </c>
      <c r="W41" s="5">
</c>
      <c r="X41" s="5">
</c>
      <c r="Y41" s="5">
</c>
      <c r="Z41" s="5">
</c>
      <c r="AA41" s="5">
</c>
      <c r="AB41" s="5">
</c>
      <c r="AC41" s="5">
</c>
      <c r="AD41" s="5">
</c>
      <c r="AE41" s="5">
</c>
      <c r="AF41" s="5">
</c>
      <c r="AG41" s="5">
</c>
      <c r="AH41" s="5">
</c>
      <c r="AI41" s="5">
</c>
      <c r="AJ41" s="5">
</c>
    </row>
    <row r="42" ht="70.5" customHeight="1">
      <c r="A42" s="6">
</c>
      <c r="B42" s="6">
</c>
      <c r="C42" s="9">
</c>
      <c r="D42" s="9">
</c>
      <c r="E42" s="6">
</c>
      <c r="F42" s="5">
</c>
      <c r="G42" s="10" cm="1" t="str">
        <f t="array" ref="G42">IF(F42="","",SUBSTITUTE(SUBSTITUTE(SUBSTITUTE(SUBSTITUTE(F42,"&lt;li&gt;",CHAR(10)),"&lt;/li&gt;",""),"&lt;br&gt;",CHAR(10)),"&lt;strong&gt;",""))</f>
        <v/>
      </c>
      <c r="H42" s="10" cm="1" t="str">
        <f t="array" ref="H42">IF(G42="","",SUBSTITUTE(SUBSTITUTE(SUBSTITUTE(SUBSTITUTE(SUBSTITUTE(G42,"&lt;p&gt;",""),"&lt;/p&gt;",""),"&lt;ul&gt;",""),"&lt;/ul&gt;",""),"&lt;/strong&gt;",""))</f>
        <v/>
      </c>
      <c r="I42" s="11" cm="1" t="str">
        <f t="array" ref="I42">IF(C42="","",IF(OR(H42="",H42=0,H42=FALSE),"-",H42))</f>
        <v/>
      </c>
      <c r="J42" s="5">
</c>
      <c r="K42" s="6">
</c>
      <c r="L42" s="6" cm="1" t="str">
        <f t="array" ref="L42">IF(C42="","",IF(K42="Mort / Plus rien à faire","KO","OK"))</f>
        <v/>
      </c>
      <c r="M42" s="12">
</c>
      <c r="N42" s="12" cm="1" t="str">
        <f t="array" ref="N42">IF(OR(C42="",M42="",M42=0),"",M42)</f>
        <v/>
      </c>
      <c r="O42" s="12">
</c>
      <c r="P42" s="12" cm="1" t="str">
        <f t="array" ref="P42">IF(C42="","",IF(OR(O42="",O42=0),"-",O42))</f>
        <v/>
      </c>
      <c r="Q42" s="13">
</c>
      <c r="R42" s="9" cm="1" t="str">
        <f t="array" ref="R42">IF(C42="","",ROUND(Q42/1000000,3)&amp;" M€")</f>
        <v/>
      </c>
      <c r="S42" s="9">
</c>
      <c r="T42" s="9" cm="1" t="str">
        <f t="array" ref="T42">IF(C42="","",SUBSTITUTE(S42,"","")&amp;"%")</f>
        <v/>
      </c>
      <c r="U42" s="6" cm="1" t="str">
        <f t="array" ref="U42">IF(($N42="")*($P42=""),"",IF(($N42&lt;&gt;"")*($N42&gt;TODAY()-9)*($N42&lt;TODAY()+1)*($P42&lt;&gt;"")*($P42&gt;=TODAY())*($P42&lt;=TODAY()+13),"Semaine passée &amp; à venir",IF(($N42&lt;&gt;"")*($N42&gt;TODAY()-9)*($N42&lt;TODAY()+1),"Semaine passée",IF(($P42&lt;&gt;"")*($P42&gt;=TODAY())*($P42&lt;=TODAY()+13),"À venir","Autre"))))</f>
        <v/>
      </c>
      <c r="V42" s="5" cm="1" t="n">
        <f t="array" ref="V42">IF(C42&lt;&gt;"",1,0)</f>
        <v>0</v>
      </c>
      <c r="W42" s="5">
</c>
      <c r="X42" s="5">
</c>
      <c r="Y42" s="5">
</c>
      <c r="Z42" s="5">
</c>
      <c r="AA42" s="5">
</c>
      <c r="AB42" s="5">
</c>
      <c r="AC42" s="5">
</c>
      <c r="AD42" s="5">
</c>
      <c r="AE42" s="5">
</c>
      <c r="AF42" s="5">
</c>
      <c r="AG42" s="5">
</c>
      <c r="AH42" s="5">
</c>
      <c r="AI42" s="5">
</c>
      <c r="AJ42" s="5">
</c>
    </row>
    <row r="43" ht="70.5" customHeight="1">
      <c r="A43" s="6">
</c>
      <c r="B43" s="6">
</c>
      <c r="C43" s="9">
</c>
      <c r="D43" s="9">
</c>
      <c r="E43" s="6">
</c>
      <c r="F43" s="5">
</c>
      <c r="G43" s="10" cm="1" t="str">
        <f t="array" ref="G43">IF(F43="","",SUBSTITUTE(SUBSTITUTE(SUBSTITUTE(SUBSTITUTE(F43,"&lt;li&gt;",CHAR(10)),"&lt;/li&gt;",""),"&lt;br&gt;",CHAR(10)),"&lt;strong&gt;",""))</f>
        <v/>
      </c>
      <c r="H43" s="10" cm="1" t="str">
        <f t="array" ref="H43">IF(G43="","",SUBSTITUTE(SUBSTITUTE(SUBSTITUTE(SUBSTITUTE(SUBSTITUTE(G43,"&lt;p&gt;",""),"&lt;/p&gt;",""),"&lt;ul&gt;",""),"&lt;/ul&gt;",""),"&lt;/strong&gt;",""))</f>
        <v/>
      </c>
      <c r="I43" s="11" cm="1" t="str">
        <f t="array" ref="I43">IF(C43="","",IF(OR(H43="",H43=0,H43=FALSE),"-",H43))</f>
        <v/>
      </c>
      <c r="J43" s="5">
</c>
      <c r="K43" s="6">
</c>
      <c r="L43" s="6" cm="1" t="str">
        <f t="array" ref="L43">IF(C43="","",IF(K43="Mort / Plus rien à faire","KO","OK"))</f>
        <v/>
      </c>
      <c r="M43" s="12">
</c>
      <c r="N43" s="12" cm="1" t="str">
        <f t="array" ref="N43">IF(OR(C43="",M43="",M43=0),"",M43)</f>
        <v/>
      </c>
      <c r="O43" s="12">
</c>
      <c r="P43" s="12" cm="1" t="str">
        <f t="array" ref="P43">IF(C43="","",IF(OR(O43="",O43=0),"-",O43))</f>
        <v/>
      </c>
      <c r="Q43" s="13">
</c>
      <c r="R43" s="9" cm="1" t="str">
        <f t="array" ref="R43">IF(C43="","",ROUND(Q43/1000000,3)&amp;" M€")</f>
        <v/>
      </c>
      <c r="S43" s="9">
</c>
      <c r="T43" s="9" cm="1" t="str">
        <f t="array" ref="T43">IF(C43="","",SUBSTITUTE(S43,"","")&amp;"%")</f>
        <v/>
      </c>
      <c r="U43" s="6" cm="1" t="str">
        <f t="array" ref="U43">IF(($N43="")*($P43=""),"",IF(($N43&lt;&gt;"")*($N43&gt;TODAY()-9)*($N43&lt;TODAY()+1)*($P43&lt;&gt;"")*($P43&gt;=TODAY())*($P43&lt;=TODAY()+13),"Semaine passée &amp; à venir",IF(($N43&lt;&gt;"")*($N43&gt;TODAY()-9)*($N43&lt;TODAY()+1),"Semaine passée",IF(($P43&lt;&gt;"")*($P43&gt;=TODAY())*($P43&lt;=TODAY()+13),"À venir","Autre"))))</f>
        <v/>
      </c>
      <c r="V43" s="5" cm="1" t="n">
        <f t="array" ref="V43">IF(C43&lt;&gt;"",1,0)</f>
        <v>0</v>
      </c>
      <c r="W43" s="5">
</c>
      <c r="X43" s="5">
</c>
      <c r="Y43" s="5">
</c>
      <c r="Z43" s="5">
</c>
      <c r="AA43" s="5">
</c>
      <c r="AB43" s="5">
</c>
      <c r="AC43" s="5">
</c>
      <c r="AD43" s="5">
</c>
      <c r="AE43" s="5">
</c>
      <c r="AF43" s="5">
</c>
      <c r="AG43" s="5">
</c>
      <c r="AH43" s="5">
</c>
      <c r="AI43" s="5">
</c>
      <c r="AJ43" s="5">
</c>
    </row>
    <row r="44" ht="70.5" customHeight="1">
      <c r="A44" s="6">
</c>
      <c r="B44" s="6">
</c>
      <c r="C44" s="9">
</c>
      <c r="D44" s="9">
</c>
      <c r="E44" s="6">
</c>
      <c r="F44" s="5">
</c>
      <c r="G44" s="10" cm="1" t="str">
        <f t="array" ref="G44">IF(F44="","",SUBSTITUTE(SUBSTITUTE(SUBSTITUTE(SUBSTITUTE(F44,"&lt;li&gt;",CHAR(10)),"&lt;/li&gt;",""),"&lt;br&gt;",CHAR(10)),"&lt;strong&gt;",""))</f>
        <v/>
      </c>
      <c r="H44" s="10" cm="1" t="str">
        <f t="array" ref="H44">IF(G44="","",SUBSTITUTE(SUBSTITUTE(SUBSTITUTE(SUBSTITUTE(SUBSTITUTE(G44,"&lt;p&gt;",""),"&lt;/p&gt;",""),"&lt;ul&gt;",""),"&lt;/ul&gt;",""),"&lt;/strong&gt;",""))</f>
        <v/>
      </c>
      <c r="I44" s="11" cm="1" t="str">
        <f t="array" ref="I44">IF(C44="","",IF(OR(H44="",H44=0,H44=FALSE),"-",H44))</f>
        <v/>
      </c>
      <c r="J44" s="5">
</c>
      <c r="K44" s="6">
</c>
      <c r="L44" s="6" cm="1" t="str">
        <f t="array" ref="L44">IF(C44="","",IF(K44="Mort / Plus rien à faire","KO","OK"))</f>
        <v/>
      </c>
      <c r="M44" s="12">
</c>
      <c r="N44" s="12" cm="1" t="str">
        <f t="array" ref="N44">IF(OR(C44="",M44="",M44=0),"",M44)</f>
        <v/>
      </c>
      <c r="O44" s="12">
</c>
      <c r="P44" s="12" cm="1" t="str">
        <f t="array" ref="P44">IF(C44="","",IF(OR(O44="",O44=0),"-",O44))</f>
        <v/>
      </c>
      <c r="Q44" s="13">
</c>
      <c r="R44" s="9" cm="1" t="str">
        <f t="array" ref="R44">IF(C44="","",ROUND(Q44/1000000,3)&amp;" M€")</f>
        <v/>
      </c>
      <c r="S44" s="9">
</c>
      <c r="T44" s="9" cm="1" t="str">
        <f t="array" ref="T44">IF(C44="","",SUBSTITUTE(S44,"","")&amp;"%")</f>
        <v/>
      </c>
      <c r="U44" s="6" cm="1" t="str">
        <f t="array" ref="U44">IF(($N44="")*($P44=""),"",IF(($N44&lt;&gt;"")*($N44&gt;TODAY()-9)*($N44&lt;TODAY()+1)*($P44&lt;&gt;"")*($P44&gt;=TODAY())*($P44&lt;=TODAY()+13),"Semaine passée &amp; à venir",IF(($N44&lt;&gt;"")*($N44&gt;TODAY()-9)*($N44&lt;TODAY()+1),"Semaine passée",IF(($P44&lt;&gt;"")*($P44&gt;=TODAY())*($P44&lt;=TODAY()+13),"À venir","Autre"))))</f>
        <v/>
      </c>
      <c r="V44" s="5" cm="1" t="n">
        <f t="array" ref="V44">IF(C44&lt;&gt;"",1,0)</f>
        <v>0</v>
      </c>
      <c r="W44" s="5">
</c>
      <c r="X44" s="5">
</c>
      <c r="Y44" s="5">
</c>
      <c r="Z44" s="5">
</c>
      <c r="AA44" s="5">
</c>
      <c r="AB44" s="5">
</c>
      <c r="AC44" s="5">
</c>
      <c r="AD44" s="5">
</c>
      <c r="AE44" s="5">
</c>
      <c r="AF44" s="5">
</c>
      <c r="AG44" s="5">
</c>
      <c r="AH44" s="5">
</c>
      <c r="AI44" s="5">
</c>
      <c r="AJ44" s="5">
</c>
    </row>
    <row r="45" ht="70.5" customHeight="1">
      <c r="A45" s="6">
</c>
      <c r="B45" s="6">
</c>
      <c r="C45" s="9">
</c>
      <c r="D45" s="9">
</c>
      <c r="E45" s="6">
</c>
      <c r="F45" s="5">
</c>
      <c r="G45" s="10" cm="1" t="str">
        <f t="array" ref="G45">IF(F45="","",SUBSTITUTE(SUBSTITUTE(SUBSTITUTE(SUBSTITUTE(F45,"&lt;li&gt;",CHAR(10)),"&lt;/li&gt;",""),"&lt;br&gt;",CHAR(10)),"&lt;strong&gt;",""))</f>
        <v/>
      </c>
      <c r="H45" s="10" cm="1" t="str">
        <f t="array" ref="H45">IF(G45="","",SUBSTITUTE(SUBSTITUTE(SUBSTITUTE(SUBSTITUTE(SUBSTITUTE(G45,"&lt;p&gt;",""),"&lt;/p&gt;",""),"&lt;ul&gt;",""),"&lt;/ul&gt;",""),"&lt;/strong&gt;",""))</f>
        <v/>
      </c>
      <c r="I45" s="11" cm="1" t="str">
        <f t="array" ref="I45">IF(C45="","",IF(OR(H45="",H45=0,H45=FALSE),"-",H45))</f>
        <v/>
      </c>
      <c r="J45" s="5">
</c>
      <c r="K45" s="6">
</c>
      <c r="L45" s="6" cm="1" t="str">
        <f t="array" ref="L45">IF(C45="","",IF(K45="Mort / Plus rien à faire","KO","OK"))</f>
        <v/>
      </c>
      <c r="M45" s="12">
</c>
      <c r="N45" s="12" cm="1" t="str">
        <f t="array" ref="N45">IF(OR(C45="",M45="",M45=0),"",M45)</f>
        <v/>
      </c>
      <c r="O45" s="12">
</c>
      <c r="P45" s="12" cm="1" t="str">
        <f t="array" ref="P45">IF(C45="","",IF(OR(O45="",O45=0),"-",O45))</f>
        <v/>
      </c>
      <c r="Q45" s="13">
</c>
      <c r="R45" s="9" cm="1" t="str">
        <f t="array" ref="R45">IF(C45="","",ROUND(Q45/1000000,3)&amp;" M€")</f>
        <v/>
      </c>
      <c r="S45" s="9">
</c>
      <c r="T45" s="9" cm="1" t="str">
        <f t="array" ref="T45">IF(C45="","",SUBSTITUTE(S45,"","")&amp;"%")</f>
        <v/>
      </c>
      <c r="U45" s="6" cm="1" t="str">
        <f t="array" ref="U45">IF(($N45="")*($P45=""),"",IF(($N45&lt;&gt;"")*($N45&gt;TODAY()-9)*($N45&lt;TODAY()+1)*($P45&lt;&gt;"")*($P45&gt;=TODAY())*($P45&lt;=TODAY()+13),"Semaine passée &amp; à venir",IF(($N45&lt;&gt;"")*($N45&gt;TODAY()-9)*($N45&lt;TODAY()+1),"Semaine passée",IF(($P45&lt;&gt;"")*($P45&gt;=TODAY())*($P45&lt;=TODAY()+13),"À venir","Autre"))))</f>
        <v/>
      </c>
      <c r="V45" s="5" cm="1" t="n">
        <f t="array" ref="V45">IF(C45&lt;&gt;"",1,0)</f>
        <v>0</v>
      </c>
      <c r="W45" s="5">
</c>
      <c r="X45" s="5">
</c>
      <c r="Y45" s="5">
</c>
      <c r="Z45" s="5">
</c>
      <c r="AA45" s="5">
</c>
      <c r="AB45" s="5">
</c>
      <c r="AC45" s="5">
</c>
      <c r="AD45" s="5">
</c>
      <c r="AE45" s="5">
</c>
      <c r="AF45" s="5">
</c>
      <c r="AG45" s="5">
</c>
      <c r="AH45" s="5">
</c>
      <c r="AI45" s="5">
</c>
      <c r="AJ45" s="5">
</c>
    </row>
    <row r="46" ht="70.5" customHeight="1">
      <c r="A46" s="6">
</c>
      <c r="B46" s="6">
</c>
      <c r="C46" s="9">
</c>
      <c r="D46" s="9">
</c>
      <c r="E46" s="6">
</c>
      <c r="F46" s="5">
</c>
      <c r="G46" s="10" cm="1" t="str">
        <f t="array" ref="G46">IF(F46="","",SUBSTITUTE(SUBSTITUTE(SUBSTITUTE(SUBSTITUTE(F46,"&lt;li&gt;",CHAR(10)),"&lt;/li&gt;",""),"&lt;br&gt;",CHAR(10)),"&lt;strong&gt;",""))</f>
        <v/>
      </c>
      <c r="H46" s="10" cm="1" t="str">
        <f t="array" ref="H46">IF(G46="","",SUBSTITUTE(SUBSTITUTE(SUBSTITUTE(SUBSTITUTE(SUBSTITUTE(G46,"&lt;p&gt;",""),"&lt;/p&gt;",""),"&lt;ul&gt;",""),"&lt;/ul&gt;",""),"&lt;/strong&gt;",""))</f>
        <v/>
      </c>
      <c r="I46" s="11" cm="1" t="str">
        <f t="array" ref="I46">IF(C46="","",IF(OR(H46="",H46=0,H46=FALSE),"-",H46))</f>
        <v/>
      </c>
      <c r="J46" s="5">
</c>
      <c r="K46" s="6">
</c>
      <c r="L46" s="6" cm="1" t="str">
        <f t="array" ref="L46">IF(C46="","",IF(K46="Mort / Plus rien à faire","KO","OK"))</f>
        <v/>
      </c>
      <c r="M46" s="12">
</c>
      <c r="N46" s="12" cm="1" t="str">
        <f t="array" ref="N46">IF(OR(C46="",M46="",M46=0),"",M46)</f>
        <v/>
      </c>
      <c r="O46" s="12">
</c>
      <c r="P46" s="12" cm="1" t="str">
        <f t="array" ref="P46">IF(C46="","",IF(OR(O46="",O46=0),"-",O46))</f>
        <v/>
      </c>
      <c r="Q46" s="13">
</c>
      <c r="R46" s="9" cm="1" t="str">
        <f t="array" ref="R46">IF(C46="","",ROUND(Q46/1000000,3)&amp;" M€")</f>
        <v/>
      </c>
      <c r="S46" s="9">
</c>
      <c r="T46" s="9" cm="1" t="str">
        <f t="array" ref="T46">IF(C46="","",SUBSTITUTE(S46,"","")&amp;"%")</f>
        <v/>
      </c>
      <c r="U46" s="6" cm="1" t="str">
        <f t="array" ref="U46">IF(($N46="")*($P46=""),"",IF(($N46&lt;&gt;"")*($N46&gt;TODAY()-9)*($N46&lt;TODAY()+1)*($P46&lt;&gt;"")*($P46&gt;=TODAY())*($P46&lt;=TODAY()+13),"Semaine passée &amp; à venir",IF(($N46&lt;&gt;"")*($N46&gt;TODAY()-9)*($N46&lt;TODAY()+1),"Semaine passée",IF(($P46&lt;&gt;"")*($P46&gt;=TODAY())*($P46&lt;=TODAY()+13),"À venir","Autre"))))</f>
        <v/>
      </c>
      <c r="V46" s="5" cm="1" t="n">
        <f t="array" ref="V46">IF(C46&lt;&gt;"",1,0)</f>
        <v>0</v>
      </c>
      <c r="W46" s="5">
</c>
      <c r="X46" s="5">
</c>
      <c r="Y46" s="5">
</c>
      <c r="Z46" s="5">
</c>
      <c r="AA46" s="5">
</c>
      <c r="AB46" s="5">
</c>
      <c r="AC46" s="5">
</c>
      <c r="AD46" s="5">
</c>
      <c r="AE46" s="5">
</c>
      <c r="AF46" s="5">
</c>
      <c r="AG46" s="5">
</c>
      <c r="AH46" s="5">
</c>
      <c r="AI46" s="5">
</c>
      <c r="AJ46" s="5">
</c>
    </row>
    <row r="47" ht="70.5" customHeight="1">
      <c r="A47" s="6">
</c>
      <c r="B47" s="6">
</c>
      <c r="C47" s="9">
</c>
      <c r="D47" s="9">
</c>
      <c r="E47" s="6">
</c>
      <c r="F47" s="5">
</c>
      <c r="G47" s="10" cm="1" t="str">
        <f t="array" ref="G47">IF(F47="","",SUBSTITUTE(SUBSTITUTE(SUBSTITUTE(SUBSTITUTE(F47,"&lt;li&gt;",CHAR(10)),"&lt;/li&gt;",""),"&lt;br&gt;",CHAR(10)),"&lt;strong&gt;",""))</f>
        <v/>
      </c>
      <c r="H47" s="10" cm="1" t="str">
        <f t="array" ref="H47">IF(G47="","",SUBSTITUTE(SUBSTITUTE(SUBSTITUTE(SUBSTITUTE(SUBSTITUTE(G47,"&lt;p&gt;",""),"&lt;/p&gt;",""),"&lt;ul&gt;",""),"&lt;/ul&gt;",""),"&lt;/strong&gt;",""))</f>
        <v/>
      </c>
      <c r="I47" s="11" cm="1" t="str">
        <f t="array" ref="I47">IF(C47="","",IF(OR(H47="",H47=0,H47=FALSE),"-",H47))</f>
        <v/>
      </c>
      <c r="J47" s="5">
</c>
      <c r="K47" s="6">
</c>
      <c r="L47" s="6" cm="1" t="str">
        <f t="array" ref="L47">IF(C47="","",IF(K47="Mort / Plus rien à faire","KO","OK"))</f>
        <v/>
      </c>
      <c r="M47" s="12">
</c>
      <c r="N47" s="12" cm="1" t="str">
        <f t="array" ref="N47">IF(OR(C47="",M47="",M47=0),"",M47)</f>
        <v/>
      </c>
      <c r="O47" s="12">
</c>
      <c r="P47" s="12" cm="1" t="str">
        <f t="array" ref="P47">IF(C47="","",IF(OR(O47="",O47=0),"-",O47))</f>
        <v/>
      </c>
      <c r="Q47" s="13">
</c>
      <c r="R47" s="9" cm="1" t="str">
        <f t="array" ref="R47">IF(C47="","",ROUND(Q47/1000000,3)&amp;" M€")</f>
        <v/>
      </c>
      <c r="S47" s="9">
</c>
      <c r="T47" s="9" cm="1" t="str">
        <f t="array" ref="T47">IF(C47="","",SUBSTITUTE(S47,"","")&amp;"%")</f>
        <v/>
      </c>
      <c r="U47" s="6" cm="1" t="str">
        <f t="array" ref="U47">IF(($N47="")*($P47=""),"",IF(($N47&lt;&gt;"")*($N47&gt;TODAY()-9)*($N47&lt;TODAY()+1)*($P47&lt;&gt;"")*($P47&gt;=TODAY())*($P47&lt;=TODAY()+13),"Semaine passée &amp; à venir",IF(($N47&lt;&gt;"")*($N47&gt;TODAY()-9)*($N47&lt;TODAY()+1),"Semaine passée",IF(($P47&lt;&gt;"")*($P47&gt;=TODAY())*($P47&lt;=TODAY()+13),"À venir","Autre"))))</f>
        <v/>
      </c>
      <c r="V47" s="5" cm="1" t="n">
        <f t="array" ref="V47">IF(C47&lt;&gt;"",1,0)</f>
        <v>0</v>
      </c>
      <c r="W47" s="5">
</c>
      <c r="X47" s="5">
</c>
      <c r="Y47" s="5">
</c>
      <c r="Z47" s="5">
</c>
      <c r="AA47" s="5">
</c>
      <c r="AB47" s="5">
</c>
      <c r="AC47" s="5">
</c>
      <c r="AD47" s="5">
</c>
      <c r="AE47" s="5">
</c>
      <c r="AF47" s="5">
</c>
      <c r="AG47" s="5">
</c>
      <c r="AH47" s="5">
</c>
      <c r="AI47" s="5">
</c>
      <c r="AJ47" s="5">
</c>
    </row>
    <row r="48" ht="70.5" customHeight="1">
      <c r="A48" s="6">
</c>
      <c r="B48" s="6">
</c>
      <c r="C48" s="9">
</c>
      <c r="D48" s="9">
</c>
      <c r="E48" s="6">
</c>
      <c r="F48" s="5">
</c>
      <c r="G48" s="10" cm="1" t="str">
        <f t="array" ref="G48">IF(F48="","",SUBSTITUTE(SUBSTITUTE(SUBSTITUTE(SUBSTITUTE(F48,"&lt;li&gt;",CHAR(10)),"&lt;/li&gt;",""),"&lt;br&gt;",CHAR(10)),"&lt;strong&gt;",""))</f>
        <v/>
      </c>
      <c r="H48" s="10" cm="1" t="str">
        <f t="array" ref="H48">IF(G48="","",SUBSTITUTE(SUBSTITUTE(SUBSTITUTE(SUBSTITUTE(SUBSTITUTE(G48,"&lt;p&gt;",""),"&lt;/p&gt;",""),"&lt;ul&gt;",""),"&lt;/ul&gt;",""),"&lt;/strong&gt;",""))</f>
        <v/>
      </c>
      <c r="I48" s="11" cm="1" t="str">
        <f t="array" ref="I48">IF(C48="","",IF(OR(H48="",H48=0,H48=FALSE),"-",H48))</f>
        <v/>
      </c>
      <c r="J48" s="5">
</c>
      <c r="K48" s="6">
</c>
      <c r="L48" s="6" cm="1" t="str">
        <f t="array" ref="L48">IF(C48="","",IF(K48="Mort / Plus rien à faire","KO","OK"))</f>
        <v/>
      </c>
      <c r="M48" s="12">
</c>
      <c r="N48" s="12" cm="1" t="str">
        <f t="array" ref="N48">IF(OR(C48="",M48="",M48=0),"",M48)</f>
        <v/>
      </c>
      <c r="O48" s="12">
</c>
      <c r="P48" s="12" cm="1" t="str">
        <f t="array" ref="P48">IF(C48="","",IF(OR(O48="",O48=0),"-",O48))</f>
        <v/>
      </c>
      <c r="Q48" s="13">
</c>
      <c r="R48" s="9" cm="1" t="str">
        <f t="array" ref="R48">IF(C48="","",ROUND(Q48/1000000,3)&amp;" M€")</f>
        <v/>
      </c>
      <c r="S48" s="9">
</c>
      <c r="T48" s="9" cm="1" t="str">
        <f t="array" ref="T48">IF(C48="","",SUBSTITUTE(S48,"","")&amp;"%")</f>
        <v/>
      </c>
      <c r="U48" s="6" cm="1" t="str">
        <f t="array" ref="U48">IF(($N48="")*($P48=""),"",IF(($N48&lt;&gt;"")*($N48&gt;TODAY()-9)*($N48&lt;TODAY()+1)*($P48&lt;&gt;"")*($P48&gt;=TODAY())*($P48&lt;=TODAY()+13),"Semaine passée &amp; à venir",IF(($N48&lt;&gt;"")*($N48&gt;TODAY()-9)*($N48&lt;TODAY()+1),"Semaine passée",IF(($P48&lt;&gt;"")*($P48&gt;=TODAY())*($P48&lt;=TODAY()+13),"À venir","Autre"))))</f>
        <v/>
      </c>
      <c r="V48" s="5" cm="1" t="n">
        <f t="array" ref="V48">IF(C48&lt;&gt;"",1,0)</f>
        <v>0</v>
      </c>
      <c r="W48" s="5">
</c>
      <c r="X48" s="5">
</c>
      <c r="Y48" s="5">
</c>
      <c r="Z48" s="5">
</c>
      <c r="AA48" s="5">
</c>
      <c r="AB48" s="5">
</c>
      <c r="AC48" s="5">
</c>
      <c r="AD48" s="5">
</c>
      <c r="AE48" s="5">
</c>
      <c r="AF48" s="5">
</c>
      <c r="AG48" s="5">
</c>
      <c r="AH48" s="5">
</c>
      <c r="AI48" s="5">
</c>
      <c r="AJ48" s="5">
</c>
    </row>
    <row r="49" ht="70.5" customHeight="1">
      <c r="A49" s="6">
</c>
      <c r="B49" s="6">
</c>
      <c r="C49" s="9">
</c>
      <c r="D49" s="9">
</c>
      <c r="E49" s="6">
</c>
      <c r="F49" s="5">
</c>
      <c r="G49" s="10" cm="1" t="str">
        <f t="array" ref="G49">IF(F49="","",SUBSTITUTE(SUBSTITUTE(SUBSTITUTE(SUBSTITUTE(F49,"&lt;li&gt;",CHAR(10)),"&lt;/li&gt;",""),"&lt;br&gt;",CHAR(10)),"&lt;strong&gt;",""))</f>
        <v/>
      </c>
      <c r="H49" s="10" cm="1" t="str">
        <f t="array" ref="H49">IF(G49="","",SUBSTITUTE(SUBSTITUTE(SUBSTITUTE(SUBSTITUTE(SUBSTITUTE(G49,"&lt;p&gt;",""),"&lt;/p&gt;",""),"&lt;ul&gt;",""),"&lt;/ul&gt;",""),"&lt;/strong&gt;",""))</f>
        <v/>
      </c>
      <c r="I49" s="11" cm="1" t="str">
        <f t="array" ref="I49">IF(C49="","",IF(OR(H49="",H49=0,H49=FALSE),"-",H49))</f>
        <v/>
      </c>
      <c r="J49" s="5">
</c>
      <c r="K49" s="6">
</c>
      <c r="L49" s="6" cm="1" t="str">
        <f t="array" ref="L49">IF(C49="","",IF(K49="Mort / Plus rien à faire","KO","OK"))</f>
        <v/>
      </c>
      <c r="M49" s="12">
</c>
      <c r="N49" s="12" cm="1" t="str">
        <f t="array" ref="N49">IF(OR(C49="",M49="",M49=0),"",M49)</f>
        <v/>
      </c>
      <c r="O49" s="12">
</c>
      <c r="P49" s="12" cm="1" t="str">
        <f t="array" ref="P49">IF(C49="","",IF(OR(O49="",O49=0),"-",O49))</f>
        <v/>
      </c>
      <c r="Q49" s="13">
</c>
      <c r="R49" s="9" cm="1" t="str">
        <f t="array" ref="R49">IF(C49="","",ROUND(Q49/1000000,3)&amp;" M€")</f>
        <v/>
      </c>
      <c r="S49" s="9">
</c>
      <c r="T49" s="9" cm="1" t="str">
        <f t="array" ref="T49">IF(C49="","",SUBSTITUTE(S49,"","")&amp;"%")</f>
        <v/>
      </c>
      <c r="U49" s="6" cm="1" t="str">
        <f t="array" ref="U49">IF(($N49="")*($P49=""),"",IF(($N49&lt;&gt;"")*($N49&gt;TODAY()-9)*($N49&lt;TODAY()+1)*($P49&lt;&gt;"")*($P49&gt;=TODAY())*($P49&lt;=TODAY()+13),"Semaine passée &amp; à venir",IF(($N49&lt;&gt;"")*($N49&gt;TODAY()-9)*($N49&lt;TODAY()+1),"Semaine passée",IF(($P49&lt;&gt;"")*($P49&gt;=TODAY())*($P49&lt;=TODAY()+13),"À venir","Autre"))))</f>
        <v/>
      </c>
      <c r="V49" s="5" cm="1" t="n">
        <f t="array" ref="V49">IF(C49&lt;&gt;"",1,0)</f>
        <v>0</v>
      </c>
      <c r="W49" s="5">
</c>
      <c r="X49" s="5">
</c>
      <c r="Y49" s="5">
</c>
      <c r="Z49" s="5">
</c>
      <c r="AA49" s="5">
</c>
      <c r="AB49" s="5">
</c>
      <c r="AC49" s="5">
</c>
      <c r="AD49" s="5">
</c>
      <c r="AE49" s="5">
</c>
      <c r="AF49" s="5">
</c>
      <c r="AG49" s="5">
</c>
      <c r="AH49" s="5">
</c>
      <c r="AI49" s="5">
</c>
      <c r="AJ49" s="5">
</c>
    </row>
    <row r="50" ht="70.5" customHeight="1">
      <c r="A50" s="6">
</c>
      <c r="B50" s="6">
</c>
      <c r="C50" s="9">
</c>
      <c r="D50" s="9">
</c>
      <c r="E50" s="6">
</c>
      <c r="F50" s="5">
</c>
      <c r="G50" s="10" cm="1" t="str">
        <f t="array" ref="G50">IF(F50="","",SUBSTITUTE(SUBSTITUTE(SUBSTITUTE(SUBSTITUTE(F50,"&lt;li&gt;",CHAR(10)),"&lt;/li&gt;",""),"&lt;br&gt;",CHAR(10)),"&lt;strong&gt;",""))</f>
        <v/>
      </c>
      <c r="H50" s="10" cm="1" t="str">
        <f t="array" ref="H50">IF(G50="","",SUBSTITUTE(SUBSTITUTE(SUBSTITUTE(SUBSTITUTE(SUBSTITUTE(G50,"&lt;p&gt;",""),"&lt;/p&gt;",""),"&lt;ul&gt;",""),"&lt;/ul&gt;",""),"&lt;/strong&gt;",""))</f>
        <v/>
      </c>
      <c r="I50" s="11" cm="1" t="str">
        <f t="array" ref="I50">IF(C50="","",IF(OR(H50="",H50=0,H50=FALSE),"-",H50))</f>
        <v/>
      </c>
      <c r="J50" s="5">
</c>
      <c r="K50" s="6">
</c>
      <c r="L50" s="6" cm="1" t="str">
        <f t="array" ref="L50">IF(C50="","",IF(K50="Mort / Plus rien à faire","KO","OK"))</f>
        <v/>
      </c>
      <c r="M50" s="12">
</c>
      <c r="N50" s="12" cm="1" t="str">
        <f t="array" ref="N50">IF(OR(C50="",M50="",M50=0),"",M50)</f>
        <v/>
      </c>
      <c r="O50" s="12">
</c>
      <c r="P50" s="12" cm="1" t="str">
        <f t="array" ref="P50">IF(C50="","",IF(OR(O50="",O50=0),"-",O50))</f>
        <v/>
      </c>
      <c r="Q50" s="13">
</c>
      <c r="R50" s="9" cm="1" t="str">
        <f t="array" ref="R50">IF(C50="","",ROUND(Q50/1000000,3)&amp;" M€")</f>
        <v/>
      </c>
      <c r="S50" s="9">
</c>
      <c r="T50" s="9" cm="1" t="str">
        <f t="array" ref="T50">IF(C50="","",SUBSTITUTE(S50,"","")&amp;"%")</f>
        <v/>
      </c>
      <c r="U50" s="6" cm="1" t="str">
        <f t="array" ref="U50">IF(($N50="")*($P50=""),"",IF(($N50&lt;&gt;"")*($N50&gt;TODAY()-9)*($N50&lt;TODAY()+1)*($P50&lt;&gt;"")*($P50&gt;=TODAY())*($P50&lt;=TODAY()+13),"Semaine passée &amp; à venir",IF(($N50&lt;&gt;"")*($N50&gt;TODAY()-9)*($N50&lt;TODAY()+1),"Semaine passée",IF(($P50&lt;&gt;"")*($P50&gt;=TODAY())*($P50&lt;=TODAY()+13),"À venir","Autre"))))</f>
        <v/>
      </c>
      <c r="V50" s="5" cm="1" t="n">
        <f t="array" ref="V50">IF(C50&lt;&gt;"",1,0)</f>
        <v>0</v>
      </c>
      <c r="W50" s="5">
</c>
      <c r="X50" s="5">
</c>
      <c r="Y50" s="5">
</c>
      <c r="Z50" s="5">
</c>
      <c r="AA50" s="5">
</c>
      <c r="AB50" s="5">
</c>
      <c r="AC50" s="5">
</c>
      <c r="AD50" s="5">
</c>
      <c r="AE50" s="5">
</c>
      <c r="AF50" s="5">
</c>
      <c r="AG50" s="5">
</c>
      <c r="AH50" s="5">
</c>
      <c r="AI50" s="5">
</c>
      <c r="AJ50" s="5">
</c>
    </row>
    <row r="51" ht="70.5" customHeight="1">
      <c r="A51" s="6">
</c>
      <c r="B51" s="6">
</c>
      <c r="C51" s="9">
</c>
      <c r="D51" s="9">
</c>
      <c r="E51" s="6">
</c>
      <c r="F51" s="5">
</c>
      <c r="G51" s="10" cm="1" t="str">
        <f t="array" ref="G51">IF(F51="","",SUBSTITUTE(SUBSTITUTE(SUBSTITUTE(SUBSTITUTE(F51,"&lt;li&gt;",CHAR(10)),"&lt;/li&gt;",""),"&lt;br&gt;",CHAR(10)),"&lt;strong&gt;",""))</f>
        <v/>
      </c>
      <c r="H51" s="10" cm="1" t="str">
        <f t="array" ref="H51">IF(G51="","",SUBSTITUTE(SUBSTITUTE(SUBSTITUTE(SUBSTITUTE(SUBSTITUTE(G51,"&lt;p&gt;",""),"&lt;/p&gt;",""),"&lt;ul&gt;",""),"&lt;/ul&gt;",""),"&lt;/strong&gt;",""))</f>
        <v/>
      </c>
      <c r="I51" s="11" cm="1" t="str">
        <f t="array" ref="I51">IF(C51="","",IF(OR(H51="",H51=0,H51=FALSE),"-",H51))</f>
        <v/>
      </c>
      <c r="J51" s="5">
</c>
      <c r="K51" s="6">
</c>
      <c r="L51" s="6" cm="1" t="str">
        <f t="array" ref="L51">IF(C51="","",IF(K51="Mort / Plus rien à faire","KO","OK"))</f>
        <v/>
      </c>
      <c r="M51" s="12">
</c>
      <c r="N51" s="12" cm="1" t="str">
        <f t="array" ref="N51">IF(OR(C51="",M51="",M51=0),"",M51)</f>
        <v/>
      </c>
      <c r="O51" s="12">
</c>
      <c r="P51" s="12" cm="1" t="str">
        <f t="array" ref="P51">IF(C51="","",IF(OR(O51="",O51=0),"-",O51))</f>
        <v/>
      </c>
      <c r="Q51" s="13">
</c>
      <c r="R51" s="9" cm="1" t="str">
        <f t="array" ref="R51">IF(C51="","",ROUND(Q51/1000000,3)&amp;" M€")</f>
        <v/>
      </c>
      <c r="S51" s="9">
</c>
      <c r="T51" s="9" cm="1" t="str">
        <f t="array" ref="T51">IF(C51="","",SUBSTITUTE(S51,"","")&amp;"%")</f>
        <v/>
      </c>
      <c r="U51" s="6" cm="1" t="str">
        <f t="array" ref="U51">IF(($N51="")*($P51=""),"",IF(($N51&lt;&gt;"")*($N51&gt;TODAY()-9)*($N51&lt;TODAY()+1)*($P51&lt;&gt;"")*($P51&gt;=TODAY())*($P51&lt;=TODAY()+13),"Semaine passée &amp; à venir",IF(($N51&lt;&gt;"")*($N51&gt;TODAY()-9)*($N51&lt;TODAY()+1),"Semaine passée",IF(($P51&lt;&gt;"")*($P51&gt;=TODAY())*($P51&lt;=TODAY()+13),"À venir","Autre"))))</f>
        <v/>
      </c>
      <c r="V51" s="5" cm="1" t="n">
        <f t="array" ref="V51">IF(C51&lt;&gt;"",1,0)</f>
        <v>0</v>
      </c>
      <c r="W51" s="5">
</c>
      <c r="X51" s="5">
</c>
      <c r="Y51" s="5">
</c>
      <c r="Z51" s="5">
</c>
      <c r="AA51" s="5">
</c>
      <c r="AB51" s="5">
</c>
      <c r="AC51" s="5">
</c>
      <c r="AD51" s="5">
</c>
      <c r="AE51" s="5">
</c>
      <c r="AF51" s="5">
</c>
      <c r="AG51" s="5">
</c>
      <c r="AH51" s="5">
</c>
      <c r="AI51" s="5">
</c>
      <c r="AJ51" s="5">
</c>
    </row>
    <row r="52" ht="70.5" customHeight="1">
      <c r="A52" s="6">
</c>
      <c r="B52" s="6">
</c>
      <c r="C52" s="9">
</c>
      <c r="D52" s="9">
</c>
      <c r="E52" s="6">
</c>
      <c r="F52" s="5">
</c>
      <c r="G52" s="10" cm="1" t="str">
        <f t="array" ref="G52">IF(F52="","",SUBSTITUTE(SUBSTITUTE(SUBSTITUTE(SUBSTITUTE(F52,"&lt;li&gt;",CHAR(10)),"&lt;/li&gt;",""),"&lt;br&gt;",CHAR(10)),"&lt;strong&gt;",""))</f>
        <v/>
      </c>
      <c r="H52" s="10" cm="1" t="str">
        <f t="array" ref="H52">IF(G52="","",SUBSTITUTE(SUBSTITUTE(SUBSTITUTE(SUBSTITUTE(SUBSTITUTE(G52,"&lt;p&gt;",""),"&lt;/p&gt;",""),"&lt;ul&gt;",""),"&lt;/ul&gt;",""),"&lt;/strong&gt;",""))</f>
        <v/>
      </c>
      <c r="I52" s="11" cm="1" t="str">
        <f t="array" ref="I52">IF(C52="","",IF(OR(H52="",H52=0,H52=FALSE),"-",H52))</f>
        <v/>
      </c>
      <c r="J52" s="5">
</c>
      <c r="K52" s="6">
</c>
      <c r="L52" s="6" cm="1" t="str">
        <f t="array" ref="L52">IF(C52="","",IF(K52="Mort / Plus rien à faire","KO","OK"))</f>
        <v/>
      </c>
      <c r="M52" s="12">
</c>
      <c r="N52" s="12" cm="1" t="str">
        <f t="array" ref="N52">IF(OR(C52="",M52="",M52=0),"",M52)</f>
        <v/>
      </c>
      <c r="O52" s="12">
</c>
      <c r="P52" s="12" cm="1" t="str">
        <f t="array" ref="P52">IF(C52="","",IF(OR(O52="",O52=0),"-",O52))</f>
        <v/>
      </c>
      <c r="Q52" s="13">
</c>
      <c r="R52" s="9" cm="1" t="str">
        <f t="array" ref="R52">IF(C52="","",ROUND(Q52/1000000,3)&amp;" M€")</f>
        <v/>
      </c>
      <c r="S52" s="9">
</c>
      <c r="T52" s="9" cm="1" t="str">
        <f t="array" ref="T52">IF(C52="","",SUBSTITUTE(S52,"","")&amp;"%")</f>
        <v/>
      </c>
      <c r="U52" s="6" cm="1" t="str">
        <f t="array" ref="U52">IF(($N52="")*($P52=""),"",IF(($N52&lt;&gt;"")*($N52&gt;TODAY()-9)*($N52&lt;TODAY()+1)*($P52&lt;&gt;"")*($P52&gt;=TODAY())*($P52&lt;=TODAY()+13),"Semaine passée &amp; à venir",IF(($N52&lt;&gt;"")*($N52&gt;TODAY()-9)*($N52&lt;TODAY()+1),"Semaine passée",IF(($P52&lt;&gt;"")*($P52&gt;=TODAY())*($P52&lt;=TODAY()+13),"À venir","Autre"))))</f>
        <v/>
      </c>
      <c r="V52" s="5" cm="1" t="n">
        <f t="array" ref="V52">IF(C52&lt;&gt;"",1,0)</f>
        <v>0</v>
      </c>
      <c r="W52" s="5">
</c>
      <c r="X52" s="5">
</c>
      <c r="Y52" s="5">
</c>
      <c r="Z52" s="5">
</c>
      <c r="AA52" s="5">
</c>
      <c r="AB52" s="5">
</c>
      <c r="AC52" s="5">
</c>
      <c r="AD52" s="5">
</c>
      <c r="AE52" s="5">
</c>
      <c r="AF52" s="5">
</c>
      <c r="AG52" s="5">
</c>
      <c r="AH52" s="5">
</c>
      <c r="AI52" s="5">
</c>
      <c r="AJ52" s="5">
</c>
    </row>
    <row r="53" ht="70.5" customHeight="1">
      <c r="A53" s="6">
</c>
      <c r="B53" s="6">
</c>
      <c r="C53" s="9">
</c>
      <c r="D53" s="9">
</c>
      <c r="E53" s="6">
</c>
      <c r="F53" s="5">
</c>
      <c r="G53" s="10" cm="1" t="str">
        <f t="array" ref="G53">IF(F53="","",SUBSTITUTE(SUBSTITUTE(SUBSTITUTE(SUBSTITUTE(F53,"&lt;li&gt;",CHAR(10)),"&lt;/li&gt;",""),"&lt;br&gt;",CHAR(10)),"&lt;strong&gt;",""))</f>
        <v/>
      </c>
      <c r="H53" s="10" cm="1" t="str">
        <f t="array" ref="H53">IF(G53="","",SUBSTITUTE(SUBSTITUTE(SUBSTITUTE(SUBSTITUTE(SUBSTITUTE(G53,"&lt;p&gt;",""),"&lt;/p&gt;",""),"&lt;ul&gt;",""),"&lt;/ul&gt;",""),"&lt;/strong&gt;",""))</f>
        <v/>
      </c>
      <c r="I53" s="11" cm="1" t="str">
        <f t="array" ref="I53">IF(C53="","",IF(OR(H53="",H53=0,H53=FALSE),"-",H53))</f>
        <v/>
      </c>
      <c r="J53" s="5">
</c>
      <c r="K53" s="6">
</c>
      <c r="L53" s="6" cm="1" t="str">
        <f t="array" ref="L53">IF(C53="","",IF(K53="Mort / Plus rien à faire","KO","OK"))</f>
        <v/>
      </c>
      <c r="M53" s="12">
</c>
      <c r="N53" s="12" cm="1" t="str">
        <f t="array" ref="N53">IF(OR(C53="",M53="",M53=0),"",M53)</f>
        <v/>
      </c>
      <c r="O53" s="12">
</c>
      <c r="P53" s="12" cm="1" t="str">
        <f t="array" ref="P53">IF(C53="","",IF(OR(O53="",O53=0),"-",O53))</f>
        <v/>
      </c>
      <c r="Q53" s="13">
</c>
      <c r="R53" s="9" cm="1" t="str">
        <f t="array" ref="R53">IF(C53="","",ROUND(Q53/1000000,3)&amp;" M€")</f>
        <v/>
      </c>
      <c r="S53" s="9">
</c>
      <c r="T53" s="9" cm="1" t="str">
        <f t="array" ref="T53">IF(C53="","",SUBSTITUTE(S53,"","")&amp;"%")</f>
        <v/>
      </c>
      <c r="U53" s="6" cm="1" t="str">
        <f t="array" ref="U53">IF(($N53="")*($P53=""),"",IF(($N53&lt;&gt;"")*($N53&gt;TODAY()-9)*($N53&lt;TODAY()+1)*($P53&lt;&gt;"")*($P53&gt;=TODAY())*($P53&lt;=TODAY()+13),"Semaine passée &amp; à venir",IF(($N53&lt;&gt;"")*($N53&gt;TODAY()-9)*($N53&lt;TODAY()+1),"Semaine passée",IF(($P53&lt;&gt;"")*($P53&gt;=TODAY())*($P53&lt;=TODAY()+13),"À venir","Autre"))))</f>
        <v/>
      </c>
      <c r="V53" s="5" cm="1" t="n">
        <f t="array" ref="V53">IF(C53&lt;&gt;"",1,0)</f>
        <v>0</v>
      </c>
      <c r="W53" s="5">
</c>
      <c r="X53" s="5">
</c>
      <c r="Y53" s="5">
</c>
      <c r="Z53" s="5">
</c>
      <c r="AA53" s="5">
</c>
      <c r="AB53" s="5">
</c>
      <c r="AC53" s="5">
</c>
      <c r="AD53" s="5">
</c>
      <c r="AE53" s="5">
</c>
      <c r="AF53" s="5">
</c>
      <c r="AG53" s="5">
</c>
      <c r="AH53" s="5">
</c>
      <c r="AI53" s="5">
</c>
      <c r="AJ53" s="5">
</c>
    </row>
    <row r="54" ht="70.5" customHeight="1">
      <c r="A54" s="6">
</c>
      <c r="B54" s="6">
</c>
      <c r="C54" s="9">
</c>
      <c r="D54" s="9">
</c>
      <c r="E54" s="6">
</c>
      <c r="F54" s="5">
</c>
      <c r="G54" s="10" cm="1" t="str">
        <f t="array" ref="G54">IF(F54="","",SUBSTITUTE(SUBSTITUTE(SUBSTITUTE(SUBSTITUTE(F54,"&lt;li&gt;",CHAR(10)),"&lt;/li&gt;",""),"&lt;br&gt;",CHAR(10)),"&lt;strong&gt;",""))</f>
        <v/>
      </c>
      <c r="H54" s="10" cm="1" t="str">
        <f t="array" ref="H54">IF(G54="","",SUBSTITUTE(SUBSTITUTE(SUBSTITUTE(SUBSTITUTE(SUBSTITUTE(G54,"&lt;p&gt;",""),"&lt;/p&gt;",""),"&lt;ul&gt;",""),"&lt;/ul&gt;",""),"&lt;/strong&gt;",""))</f>
        <v/>
      </c>
      <c r="I54" s="11" cm="1" t="str">
        <f t="array" ref="I54">IF(C54="","",IF(OR(H54="",H54=0,H54=FALSE),"-",H54))</f>
        <v/>
      </c>
      <c r="J54" s="5">
</c>
      <c r="K54" s="6">
</c>
      <c r="L54" s="6" cm="1" t="str">
        <f t="array" ref="L54">IF(C54="","",IF(K54="Mort / Plus rien à faire","KO","OK"))</f>
        <v/>
      </c>
      <c r="M54" s="12">
</c>
      <c r="N54" s="12" cm="1" t="str">
        <f t="array" ref="N54">IF(OR(C54="",M54="",M54=0),"",M54)</f>
        <v/>
      </c>
      <c r="O54" s="12">
</c>
      <c r="P54" s="12" cm="1" t="str">
        <f t="array" ref="P54">IF(C54="","",IF(OR(O54="",O54=0),"-",O54))</f>
        <v/>
      </c>
      <c r="Q54" s="13">
</c>
      <c r="R54" s="9" cm="1" t="str">
        <f t="array" ref="R54">IF(C54="","",ROUND(Q54/1000000,3)&amp;" M€")</f>
        <v/>
      </c>
      <c r="S54" s="9">
</c>
      <c r="T54" s="9" cm="1" t="str">
        <f t="array" ref="T54">IF(C54="","",SUBSTITUTE(S54,"","")&amp;"%")</f>
        <v/>
      </c>
      <c r="U54" s="6" cm="1" t="str">
        <f t="array" ref="U54">IF(($N54="")*($P54=""),"",IF(($N54&lt;&gt;"")*($N54&gt;TODAY()-9)*($N54&lt;TODAY()+1)*($P54&lt;&gt;"")*($P54&gt;=TODAY())*($P54&lt;=TODAY()+13),"Semaine passée &amp; à venir",IF(($N54&lt;&gt;"")*($N54&gt;TODAY()-9)*($N54&lt;TODAY()+1),"Semaine passée",IF(($P54&lt;&gt;"")*($P54&gt;=TODAY())*($P54&lt;=TODAY()+13),"À venir","Autre"))))</f>
        <v/>
      </c>
      <c r="V54" s="5" cm="1" t="n">
        <f t="array" ref="V54">IF(C54&lt;&gt;"",1,0)</f>
        <v>0</v>
      </c>
      <c r="W54" s="5">
</c>
      <c r="X54" s="5">
</c>
      <c r="Y54" s="5">
</c>
      <c r="Z54" s="5">
</c>
      <c r="AA54" s="5">
</c>
      <c r="AB54" s="5">
</c>
      <c r="AC54" s="5">
</c>
      <c r="AD54" s="5">
</c>
      <c r="AE54" s="5">
</c>
      <c r="AF54" s="5">
</c>
      <c r="AG54" s="5">
</c>
      <c r="AH54" s="5">
</c>
      <c r="AI54" s="5">
</c>
      <c r="AJ54" s="5">
</c>
    </row>
    <row r="55" ht="70.5" customHeight="1">
      <c r="A55" s="6">
</c>
      <c r="B55" s="6">
</c>
      <c r="C55" s="9">
</c>
      <c r="D55" s="9">
</c>
      <c r="E55" s="6">
</c>
      <c r="F55" s="5">
</c>
      <c r="G55" s="10" cm="1" t="str">
        <f t="array" ref="G55">IF(F55="","",SUBSTITUTE(SUBSTITUTE(SUBSTITUTE(SUBSTITUTE(F55,"&lt;li&gt;",CHAR(10)),"&lt;/li&gt;",""),"&lt;br&gt;",CHAR(10)),"&lt;strong&gt;",""))</f>
        <v/>
      </c>
      <c r="H55" s="10" cm="1" t="str">
        <f t="array" ref="H55">IF(G55="","",SUBSTITUTE(SUBSTITUTE(SUBSTITUTE(SUBSTITUTE(SUBSTITUTE(G55,"&lt;p&gt;",""),"&lt;/p&gt;",""),"&lt;ul&gt;",""),"&lt;/ul&gt;",""),"&lt;/strong&gt;",""))</f>
        <v/>
      </c>
      <c r="I55" s="11" cm="1" t="str">
        <f t="array" ref="I55">IF(C55="","",IF(OR(H55="",H55=0,H55=FALSE),"-",H55))</f>
        <v/>
      </c>
      <c r="J55" s="5">
</c>
      <c r="K55" s="6">
</c>
      <c r="L55" s="6" cm="1" t="str">
        <f t="array" ref="L55">IF(C55="","",IF(K55="Mort / Plus rien à faire","KO","OK"))</f>
        <v/>
      </c>
      <c r="M55" s="12">
</c>
      <c r="N55" s="12" cm="1" t="str">
        <f t="array" ref="N55">IF(OR(C55="",M55="",M55=0),"",M55)</f>
        <v/>
      </c>
      <c r="O55" s="12">
</c>
      <c r="P55" s="12" cm="1" t="str">
        <f t="array" ref="P55">IF(C55="","",IF(OR(O55="",O55=0),"-",O55))</f>
        <v/>
      </c>
      <c r="Q55" s="13">
</c>
      <c r="R55" s="9" cm="1" t="str">
        <f t="array" ref="R55">IF(C55="","",ROUND(Q55/1000000,3)&amp;" M€")</f>
        <v/>
      </c>
      <c r="S55" s="9">
</c>
      <c r="T55" s="9" cm="1" t="str">
        <f t="array" ref="T55">IF(C55="","",SUBSTITUTE(S55,"","")&amp;"%")</f>
        <v/>
      </c>
      <c r="U55" s="6" cm="1" t="str">
        <f t="array" ref="U55">IF(($N55="")*($P55=""),"",IF(($N55&lt;&gt;"")*($N55&gt;TODAY()-9)*($N55&lt;TODAY()+1)*($P55&lt;&gt;"")*($P55&gt;=TODAY())*($P55&lt;=TODAY()+13),"Semaine passée &amp; à venir",IF(($N55&lt;&gt;"")*($N55&gt;TODAY()-9)*($N55&lt;TODAY()+1),"Semaine passée",IF(($P55&lt;&gt;"")*($P55&gt;=TODAY())*($P55&lt;=TODAY()+13),"À venir","Autre"))))</f>
        <v/>
      </c>
      <c r="V55" s="5" cm="1" t="n">
        <f t="array" ref="V55">IF(C55&lt;&gt;"",1,0)</f>
        <v>0</v>
      </c>
      <c r="W55" s="5">
</c>
      <c r="X55" s="5">
</c>
      <c r="Y55" s="5">
</c>
      <c r="Z55" s="5">
</c>
      <c r="AA55" s="5">
</c>
      <c r="AB55" s="5">
</c>
      <c r="AC55" s="5">
</c>
      <c r="AD55" s="5">
</c>
      <c r="AE55" s="5">
</c>
      <c r="AF55" s="5">
</c>
      <c r="AG55" s="5">
</c>
      <c r="AH55" s="5">
</c>
      <c r="AI55" s="5">
</c>
      <c r="AJ55" s="5">
</c>
    </row>
    <row r="56" ht="70.5" customHeight="1">
      <c r="A56" s="6">
</c>
      <c r="B56" s="6">
</c>
      <c r="C56" s="9">
</c>
      <c r="D56" s="9">
</c>
      <c r="E56" s="6">
</c>
      <c r="F56" s="5">
</c>
      <c r="G56" s="10" cm="1" t="str">
        <f t="array" ref="G56">IF(F56="","",SUBSTITUTE(SUBSTITUTE(SUBSTITUTE(SUBSTITUTE(F56,"&lt;li&gt;",CHAR(10)),"&lt;/li&gt;",""),"&lt;br&gt;",CHAR(10)),"&lt;strong&gt;",""))</f>
        <v/>
      </c>
      <c r="H56" s="10" cm="1" t="str">
        <f t="array" ref="H56">IF(G56="","",SUBSTITUTE(SUBSTITUTE(SUBSTITUTE(SUBSTITUTE(SUBSTITUTE(G56,"&lt;p&gt;",""),"&lt;/p&gt;",""),"&lt;ul&gt;",""),"&lt;/ul&gt;",""),"&lt;/strong&gt;",""))</f>
        <v/>
      </c>
      <c r="I56" s="11" cm="1" t="str">
        <f t="array" ref="I56">IF(C56="","",IF(OR(H56="",H56=0,H56=FALSE),"-",H56))</f>
        <v/>
      </c>
      <c r="J56" s="5">
</c>
      <c r="K56" s="6">
</c>
      <c r="L56" s="6" cm="1" t="str">
        <f t="array" ref="L56">IF(C56="","",IF(K56="Mort / Plus rien à faire","KO","OK"))</f>
        <v/>
      </c>
      <c r="M56" s="12">
</c>
      <c r="N56" s="12" cm="1" t="str">
        <f t="array" ref="N56">IF(OR(C56="",M56="",M56=0),"",M56)</f>
        <v/>
      </c>
      <c r="O56" s="12">
</c>
      <c r="P56" s="12" cm="1" t="str">
        <f t="array" ref="P56">IF(C56="","",IF(OR(O56="",O56=0),"-",O56))</f>
        <v/>
      </c>
      <c r="Q56" s="13">
</c>
      <c r="R56" s="9" cm="1" t="str">
        <f t="array" ref="R56">IF(C56="","",ROUND(Q56/1000000,3)&amp;" M€")</f>
        <v/>
      </c>
      <c r="S56" s="9">
</c>
      <c r="T56" s="9" cm="1" t="str">
        <f t="array" ref="T56">IF(C56="","",SUBSTITUTE(S56,"","")&amp;"%")</f>
        <v/>
      </c>
      <c r="U56" s="6" cm="1" t="str">
        <f t="array" ref="U56">IF(($N56="")*($P56=""),"",IF(($N56&lt;&gt;"")*($N56&gt;TODAY()-9)*($N56&lt;TODAY()+1)*($P56&lt;&gt;"")*($P56&gt;=TODAY())*($P56&lt;=TODAY()+13),"Semaine passée &amp; à venir",IF(($N56&lt;&gt;"")*($N56&gt;TODAY()-9)*($N56&lt;TODAY()+1),"Semaine passée",IF(($P56&lt;&gt;"")*($P56&gt;=TODAY())*($P56&lt;=TODAY()+13),"À venir","Autre"))))</f>
        <v/>
      </c>
      <c r="V56" s="5" cm="1" t="n">
        <f t="array" ref="V56">IF(C56&lt;&gt;"",1,0)</f>
        <v>0</v>
      </c>
      <c r="W56" s="5">
</c>
      <c r="X56" s="5">
</c>
      <c r="Y56" s="5">
</c>
      <c r="Z56" s="5">
</c>
      <c r="AA56" s="5">
</c>
      <c r="AB56" s="5">
</c>
      <c r="AC56" s="5">
</c>
      <c r="AD56" s="5">
</c>
      <c r="AE56" s="5">
</c>
      <c r="AF56" s="5">
</c>
      <c r="AG56" s="5">
</c>
      <c r="AH56" s="5">
</c>
      <c r="AI56" s="5">
</c>
      <c r="AJ56" s="5">
</c>
    </row>
    <row r="57" ht="70.5" customHeight="1">
      <c r="A57" s="6">
</c>
      <c r="B57" s="6">
</c>
      <c r="C57" s="9">
</c>
      <c r="D57" s="9">
</c>
      <c r="E57" s="6">
</c>
      <c r="F57" s="5">
</c>
      <c r="G57" s="10" cm="1" t="str">
        <f t="array" ref="G57">IF(F57="","",SUBSTITUTE(SUBSTITUTE(SUBSTITUTE(SUBSTITUTE(F57,"&lt;li&gt;",CHAR(10)),"&lt;/li&gt;",""),"&lt;br&gt;",CHAR(10)),"&lt;strong&gt;",""))</f>
        <v/>
      </c>
      <c r="H57" s="10" cm="1" t="str">
        <f t="array" ref="H57">IF(G57="","",SUBSTITUTE(SUBSTITUTE(SUBSTITUTE(SUBSTITUTE(SUBSTITUTE(G57,"&lt;p&gt;",""),"&lt;/p&gt;",""),"&lt;ul&gt;",""),"&lt;/ul&gt;",""),"&lt;/strong&gt;",""))</f>
        <v/>
      </c>
      <c r="I57" s="11" cm="1" t="str">
        <f t="array" ref="I57">IF(C57="","",IF(OR(H57="",H57=0,H57=FALSE),"-",H57))</f>
        <v/>
      </c>
      <c r="J57" s="5">
</c>
      <c r="K57" s="6">
</c>
      <c r="L57" s="6" cm="1" t="str">
        <f t="array" ref="L57">IF(C57="","",IF(K57="Mort / Plus rien à faire","KO","OK"))</f>
        <v/>
      </c>
      <c r="M57" s="12">
</c>
      <c r="N57" s="12" cm="1" t="str">
        <f t="array" ref="N57">IF(OR(C57="",M57="",M57=0),"",M57)</f>
        <v/>
      </c>
      <c r="O57" s="12">
</c>
      <c r="P57" s="12" cm="1" t="str">
        <f t="array" ref="P57">IF(C57="","",IF(OR(O57="",O57=0),"-",O57))</f>
        <v/>
      </c>
      <c r="Q57" s="13">
</c>
      <c r="R57" s="9" cm="1" t="str">
        <f t="array" ref="R57">IF(C57="","",ROUND(Q57/1000000,3)&amp;" M€")</f>
        <v/>
      </c>
      <c r="S57" s="9">
</c>
      <c r="T57" s="9" cm="1" t="str">
        <f t="array" ref="T57">IF(C57="","",SUBSTITUTE(S57,"","")&amp;"%")</f>
        <v/>
      </c>
      <c r="U57" s="6" cm="1" t="str">
        <f t="array" ref="U57">IF(($N57="")*($P57=""),"",IF(($N57&lt;&gt;"")*($N57&gt;TODAY()-9)*($N57&lt;TODAY()+1)*($P57&lt;&gt;"")*($P57&gt;=TODAY())*($P57&lt;=TODAY()+13),"Semaine passée &amp; à venir",IF(($N57&lt;&gt;"")*($N57&gt;TODAY()-9)*($N57&lt;TODAY()+1),"Semaine passée",IF(($P57&lt;&gt;"")*($P57&gt;=TODAY())*($P57&lt;=TODAY()+13),"À venir","Autre"))))</f>
        <v/>
      </c>
      <c r="V57" s="5" cm="1" t="n">
        <f t="array" ref="V57">IF(C57&lt;&gt;"",1,0)</f>
        <v>0</v>
      </c>
      <c r="W57" s="5">
</c>
      <c r="X57" s="5">
</c>
      <c r="Y57" s="5">
</c>
      <c r="Z57" s="5">
</c>
      <c r="AA57" s="5">
</c>
      <c r="AB57" s="5">
</c>
      <c r="AC57" s="5">
</c>
      <c r="AD57" s="5">
</c>
      <c r="AE57" s="5">
</c>
      <c r="AF57" s="5">
</c>
      <c r="AG57" s="5">
</c>
      <c r="AH57" s="5">
</c>
      <c r="AI57" s="5">
</c>
      <c r="AJ57" s="5">
</c>
    </row>
    <row r="58" ht="70.5" customHeight="1">
      <c r="A58" s="6">
</c>
      <c r="B58" s="6">
</c>
      <c r="C58" s="9">
</c>
      <c r="D58" s="9">
</c>
      <c r="E58" s="6">
</c>
      <c r="F58" s="5">
</c>
      <c r="G58" s="10" cm="1" t="str">
        <f t="array" ref="G58">IF(F58="","",SUBSTITUTE(SUBSTITUTE(SUBSTITUTE(SUBSTITUTE(F58,"&lt;li&gt;",CHAR(10)),"&lt;/li&gt;",""),"&lt;br&gt;",CHAR(10)),"&lt;strong&gt;",""))</f>
        <v/>
      </c>
      <c r="H58" s="10" cm="1" t="str">
        <f t="array" ref="H58">IF(G58="","",SUBSTITUTE(SUBSTITUTE(SUBSTITUTE(SUBSTITUTE(SUBSTITUTE(G58,"&lt;p&gt;",""),"&lt;/p&gt;",""),"&lt;ul&gt;",""),"&lt;/ul&gt;",""),"&lt;/strong&gt;",""))</f>
        <v/>
      </c>
      <c r="I58" s="11" cm="1" t="str">
        <f t="array" ref="I58">IF(C58="","",IF(OR(H58="",H58=0,H58=FALSE),"-",H58))</f>
        <v/>
      </c>
      <c r="J58" s="5">
</c>
      <c r="K58" s="6">
</c>
      <c r="L58" s="6" cm="1" t="str">
        <f t="array" ref="L58">IF(C58="","",IF(K58="Mort / Plus rien à faire","KO","OK"))</f>
        <v/>
      </c>
      <c r="M58" s="12">
</c>
      <c r="N58" s="12" cm="1" t="str">
        <f t="array" ref="N58">IF(OR(C58="",M58="",M58=0),"",M58)</f>
        <v/>
      </c>
      <c r="O58" s="12">
</c>
      <c r="P58" s="12" cm="1" t="str">
        <f t="array" ref="P58">IF(C58="","",IF(OR(O58="",O58=0),"-",O58))</f>
        <v/>
      </c>
      <c r="Q58" s="13">
</c>
      <c r="R58" s="9" cm="1" t="str">
        <f t="array" ref="R58">IF(C58="","",ROUND(Q58/1000000,3)&amp;" M€")</f>
        <v/>
      </c>
      <c r="S58" s="9">
</c>
      <c r="T58" s="9" cm="1" t="str">
        <f t="array" ref="T58">IF(C58="","",SUBSTITUTE(S58,"","")&amp;"%")</f>
        <v/>
      </c>
      <c r="U58" s="6" cm="1" t="str">
        <f t="array" ref="U58">IF(($N58="")*($P58=""),"",IF(($N58&lt;&gt;"")*($N58&gt;TODAY()-9)*($N58&lt;TODAY()+1)*($P58&lt;&gt;"")*($P58&gt;=TODAY())*($P58&lt;=TODAY()+13),"Semaine passée &amp; à venir",IF(($N58&lt;&gt;"")*($N58&gt;TODAY()-9)*($N58&lt;TODAY()+1),"Semaine passée",IF(($P58&lt;&gt;"")*($P58&gt;=TODAY())*($P58&lt;=TODAY()+13),"À venir","Autre"))))</f>
        <v/>
      </c>
      <c r="V58" s="5" cm="1" t="n">
        <f t="array" ref="V58">IF(C58&lt;&gt;"",1,0)</f>
        <v>0</v>
      </c>
      <c r="W58" s="5">
</c>
      <c r="X58" s="5">
</c>
      <c r="Y58" s="5">
</c>
      <c r="Z58" s="5">
</c>
      <c r="AA58" s="5">
</c>
      <c r="AB58" s="5">
</c>
      <c r="AC58" s="5">
</c>
      <c r="AD58" s="5">
</c>
      <c r="AE58" s="5">
</c>
      <c r="AF58" s="5">
</c>
      <c r="AG58" s="5">
</c>
      <c r="AH58" s="5">
</c>
      <c r="AI58" s="5">
</c>
      <c r="AJ58" s="5">
</c>
    </row>
    <row r="59" ht="70.5" customHeight="1">
      <c r="A59" s="6">
</c>
      <c r="B59" s="6">
</c>
      <c r="C59" s="9">
</c>
      <c r="D59" s="9">
</c>
      <c r="E59" s="6">
</c>
      <c r="F59" s="5">
</c>
      <c r="G59" s="10" cm="1" t="str">
        <f t="array" ref="G59">IF(F59="","",SUBSTITUTE(SUBSTITUTE(SUBSTITUTE(SUBSTITUTE(F59,"&lt;li&gt;",CHAR(10)),"&lt;/li&gt;",""),"&lt;br&gt;",CHAR(10)),"&lt;strong&gt;",""))</f>
        <v/>
      </c>
      <c r="H59" s="10" cm="1" t="str">
        <f t="array" ref="H59">IF(G59="","",SUBSTITUTE(SUBSTITUTE(SUBSTITUTE(SUBSTITUTE(SUBSTITUTE(G59,"&lt;p&gt;",""),"&lt;/p&gt;",""),"&lt;ul&gt;",""),"&lt;/ul&gt;",""),"&lt;/strong&gt;",""))</f>
        <v/>
      </c>
      <c r="I59" s="11" cm="1" t="str">
        <f t="array" ref="I59">IF(C59="","",IF(OR(H59="",H59=0,H59=FALSE),"-",H59))</f>
        <v/>
      </c>
      <c r="J59" s="5">
</c>
      <c r="K59" s="6">
</c>
      <c r="L59" s="6" cm="1" t="str">
        <f t="array" ref="L59">IF(C59="","",IF(K59="Mort / Plus rien à faire","KO","OK"))</f>
        <v/>
      </c>
      <c r="M59" s="12">
</c>
      <c r="N59" s="12" cm="1" t="str">
        <f t="array" ref="N59">IF(OR(C59="",M59="",M59=0),"",M59)</f>
        <v/>
      </c>
      <c r="O59" s="12">
</c>
      <c r="P59" s="12" cm="1" t="str">
        <f t="array" ref="P59">IF(C59="","",IF(OR(O59="",O59=0),"-",O59))</f>
        <v/>
      </c>
      <c r="Q59" s="13">
</c>
      <c r="R59" s="9" cm="1" t="str">
        <f t="array" ref="R59">IF(C59="","",ROUND(Q59/1000000,3)&amp;" M€")</f>
        <v/>
      </c>
      <c r="S59" s="9">
</c>
      <c r="T59" s="9" cm="1" t="str">
        <f t="array" ref="T59">IF(C59="","",SUBSTITUTE(S59,"","")&amp;"%")</f>
        <v/>
      </c>
      <c r="U59" s="6" cm="1" t="str">
        <f t="array" ref="U59">IF(($N59="")*($P59=""),"",IF(($N59&lt;&gt;"")*($N59&gt;TODAY()-9)*($N59&lt;TODAY()+1)*($P59&lt;&gt;"")*($P59&gt;=TODAY())*($P59&lt;=TODAY()+13),"Semaine passée &amp; à venir",IF(($N59&lt;&gt;"")*($N59&gt;TODAY()-9)*($N59&lt;TODAY()+1),"Semaine passée",IF(($P59&lt;&gt;"")*($P59&gt;=TODAY())*($P59&lt;=TODAY()+13),"À venir","Autre"))))</f>
        <v/>
      </c>
      <c r="V59" s="5" cm="1" t="n">
        <f t="array" ref="V59">IF(C59&lt;&gt;"",1,0)</f>
        <v>0</v>
      </c>
      <c r="W59" s="5">
</c>
      <c r="X59" s="5">
</c>
      <c r="Y59" s="5">
</c>
      <c r="Z59" s="5">
</c>
      <c r="AA59" s="5">
</c>
      <c r="AB59" s="5">
</c>
      <c r="AC59" s="5">
</c>
      <c r="AD59" s="5">
</c>
      <c r="AE59" s="5">
</c>
      <c r="AF59" s="5">
</c>
      <c r="AG59" s="5">
</c>
      <c r="AH59" s="5">
</c>
      <c r="AI59" s="5">
</c>
      <c r="AJ59" s="5">
</c>
    </row>
    <row r="60" ht="70.5" customHeight="1">
      <c r="A60" s="6">
</c>
      <c r="B60" s="6">
</c>
      <c r="C60" s="9">
</c>
      <c r="D60" s="9">
</c>
      <c r="E60" s="6">
</c>
      <c r="F60" s="5">
</c>
      <c r="G60" s="10" cm="1" t="str">
        <f t="array" ref="G60">IF(F60="","",SUBSTITUTE(SUBSTITUTE(SUBSTITUTE(SUBSTITUTE(F60,"&lt;li&gt;",CHAR(10)),"&lt;/li&gt;",""),"&lt;br&gt;",CHAR(10)),"&lt;strong&gt;",""))</f>
        <v/>
      </c>
      <c r="H60" s="10" cm="1" t="str">
        <f t="array" ref="H60">IF(G60="","",SUBSTITUTE(SUBSTITUTE(SUBSTITUTE(SUBSTITUTE(SUBSTITUTE(G60,"&lt;p&gt;",""),"&lt;/p&gt;",""),"&lt;ul&gt;",""),"&lt;/ul&gt;",""),"&lt;/strong&gt;",""))</f>
        <v/>
      </c>
      <c r="I60" s="11" cm="1" t="str">
        <f t="array" ref="I60">IF(C60="","",IF(OR(H60="",H60=0,H60=FALSE),"-",H60))</f>
        <v/>
      </c>
      <c r="J60" s="5">
</c>
      <c r="K60" s="6">
</c>
      <c r="L60" s="6" cm="1" t="str">
        <f t="array" ref="L60">IF(C60="","",IF(K60="Mort / Plus rien à faire","KO","OK"))</f>
        <v/>
      </c>
      <c r="M60" s="12">
</c>
      <c r="N60" s="12" cm="1" t="str">
        <f t="array" ref="N60">IF(OR(C60="",M60="",M60=0),"",M60)</f>
        <v/>
      </c>
      <c r="O60" s="12">
</c>
      <c r="P60" s="12" cm="1" t="str">
        <f t="array" ref="P60">IF(C60="","",IF(OR(O60="",O60=0),"-",O60))</f>
        <v/>
      </c>
      <c r="Q60" s="13">
</c>
      <c r="R60" s="9" cm="1" t="str">
        <f t="array" ref="R60">IF(C60="","",ROUND(Q60/1000000,3)&amp;" M€")</f>
        <v/>
      </c>
      <c r="S60" s="9">
</c>
      <c r="T60" s="9" cm="1" t="str">
        <f t="array" ref="T60">IF(C60="","",SUBSTITUTE(S60,"","")&amp;"%")</f>
        <v/>
      </c>
      <c r="U60" s="6" cm="1" t="str">
        <f t="array" ref="U60">IF(($N60="")*($P60=""),"",IF(($N60&lt;&gt;"")*($N60&gt;TODAY()-9)*($N60&lt;TODAY()+1)*($P60&lt;&gt;"")*($P60&gt;=TODAY())*($P60&lt;=TODAY()+13),"Semaine passée &amp; à venir",IF(($N60&lt;&gt;"")*($N60&gt;TODAY()-9)*($N60&lt;TODAY()+1),"Semaine passée",IF(($P60&lt;&gt;"")*($P60&gt;=TODAY())*($P60&lt;=TODAY()+13),"À venir","Autre"))))</f>
        <v/>
      </c>
      <c r="V60" s="5" cm="1" t="n">
        <f t="array" ref="V60">IF(C60&lt;&gt;"",1,0)</f>
        <v>0</v>
      </c>
      <c r="W60" s="5">
</c>
      <c r="X60" s="5">
</c>
      <c r="Y60" s="5">
</c>
      <c r="Z60" s="5">
</c>
      <c r="AA60" s="5">
</c>
      <c r="AB60" s="5">
</c>
      <c r="AC60" s="5">
</c>
      <c r="AD60" s="5">
</c>
      <c r="AE60" s="5">
</c>
      <c r="AF60" s="5">
</c>
      <c r="AG60" s="5">
</c>
      <c r="AH60" s="5">
</c>
      <c r="AI60" s="5">
</c>
      <c r="AJ60" s="5">
</c>
    </row>
    <row r="61" ht="70.5" customHeight="1">
      <c r="A61" s="6">
</c>
      <c r="B61" s="6">
</c>
      <c r="C61" s="9">
</c>
      <c r="D61" s="9">
</c>
      <c r="E61" s="6">
</c>
      <c r="F61" s="5">
</c>
      <c r="G61" s="10" cm="1" t="str">
        <f t="array" ref="G61">IF(F61="","",SUBSTITUTE(SUBSTITUTE(SUBSTITUTE(SUBSTITUTE(F61,"&lt;li&gt;",CHAR(10)),"&lt;/li&gt;",""),"&lt;br&gt;",CHAR(10)),"&lt;strong&gt;",""))</f>
        <v/>
      </c>
      <c r="H61" s="10" cm="1" t="str">
        <f t="array" ref="H61">IF(G61="","",SUBSTITUTE(SUBSTITUTE(SUBSTITUTE(SUBSTITUTE(SUBSTITUTE(G61,"&lt;p&gt;",""),"&lt;/p&gt;",""),"&lt;ul&gt;",""),"&lt;/ul&gt;",""),"&lt;/strong&gt;",""))</f>
        <v/>
      </c>
      <c r="I61" s="11" cm="1" t="str">
        <f t="array" ref="I61">IF(C61="","",IF(OR(H61="",H61=0,H61=FALSE),"-",H61))</f>
        <v/>
      </c>
      <c r="J61" s="5">
</c>
      <c r="K61" s="6">
</c>
      <c r="L61" s="6" cm="1" t="str">
        <f t="array" ref="L61">IF(C61="","",IF(K61="Mort / Plus rien à faire","KO","OK"))</f>
        <v/>
      </c>
      <c r="M61" s="12">
</c>
      <c r="N61" s="12" cm="1" t="str">
        <f t="array" ref="N61">IF(OR(C61="",M61="",M61=0),"",M61)</f>
        <v/>
      </c>
      <c r="O61" s="12">
</c>
      <c r="P61" s="12" cm="1" t="str">
        <f t="array" ref="P61">IF(C61="","",IF(OR(O61="",O61=0),"-",O61))</f>
        <v/>
      </c>
      <c r="Q61" s="13">
</c>
      <c r="R61" s="9" cm="1" t="str">
        <f t="array" ref="R61">IF(C61="","",ROUND(Q61/1000000,3)&amp;" M€")</f>
        <v/>
      </c>
      <c r="S61" s="9">
</c>
      <c r="T61" s="9" cm="1" t="str">
        <f t="array" ref="T61">IF(C61="","",SUBSTITUTE(S61,"","")&amp;"%")</f>
        <v/>
      </c>
      <c r="U61" s="6" cm="1" t="str">
        <f t="array" ref="U61">IF(($N61="")*($P61=""),"",IF(($N61&lt;&gt;"")*($N61&gt;TODAY()-9)*($N61&lt;TODAY()+1)*($P61&lt;&gt;"")*($P61&gt;=TODAY())*($P61&lt;=TODAY()+13),"Semaine passée &amp; à venir",IF(($N61&lt;&gt;"")*($N61&gt;TODAY()-9)*($N61&lt;TODAY()+1),"Semaine passée",IF(($P61&lt;&gt;"")*($P61&gt;=TODAY())*($P61&lt;=TODAY()+13),"À venir","Autre"))))</f>
        <v/>
      </c>
      <c r="V61" s="5" cm="1" t="n">
        <f t="array" ref="V61">IF(C61&lt;&gt;"",1,0)</f>
        <v>0</v>
      </c>
      <c r="W61" s="5">
</c>
      <c r="X61" s="5">
</c>
      <c r="Y61" s="5">
</c>
      <c r="Z61" s="5">
</c>
      <c r="AA61" s="5">
</c>
      <c r="AB61" s="5">
</c>
      <c r="AC61" s="5">
</c>
      <c r="AD61" s="5">
</c>
      <c r="AE61" s="5">
</c>
      <c r="AF61" s="5">
</c>
      <c r="AG61" s="5">
</c>
      <c r="AH61" s="5">
</c>
      <c r="AI61" s="5">
</c>
      <c r="AJ61" s="5">
</c>
    </row>
    <row r="62" ht="70.5" customHeight="1">
      <c r="A62" s="6">
</c>
      <c r="B62" s="6">
</c>
      <c r="C62" s="9">
</c>
      <c r="D62" s="9">
</c>
      <c r="E62" s="6">
</c>
      <c r="F62" s="5">
</c>
      <c r="G62" s="10" cm="1" t="str">
        <f t="array" ref="G62">IF(F62="","",SUBSTITUTE(SUBSTITUTE(SUBSTITUTE(SUBSTITUTE(F62,"&lt;li&gt;",CHAR(10)),"&lt;/li&gt;",""),"&lt;br&gt;",CHAR(10)),"&lt;strong&gt;",""))</f>
        <v/>
      </c>
      <c r="H62" s="10" cm="1" t="str">
        <f t="array" ref="H62">IF(G62="","",SUBSTITUTE(SUBSTITUTE(SUBSTITUTE(SUBSTITUTE(SUBSTITUTE(G62,"&lt;p&gt;",""),"&lt;/p&gt;",""),"&lt;ul&gt;",""),"&lt;/ul&gt;",""),"&lt;/strong&gt;",""))</f>
        <v/>
      </c>
      <c r="I62" s="11" cm="1" t="str">
        <f t="array" ref="I62">IF(C62="","",IF(OR(H62="",H62=0,H62=FALSE),"-",H62))</f>
        <v/>
      </c>
      <c r="J62" s="5">
</c>
      <c r="K62" s="6">
</c>
      <c r="L62" s="6" cm="1" t="str">
        <f t="array" ref="L62">IF(C62="","",IF(K62="Mort / Plus rien à faire","KO","OK"))</f>
        <v/>
      </c>
      <c r="M62" s="12">
</c>
      <c r="N62" s="12" cm="1" t="str">
        <f t="array" ref="N62">IF(OR(C62="",M62="",M62=0),"",M62)</f>
        <v/>
      </c>
      <c r="O62" s="12">
</c>
      <c r="P62" s="12" cm="1" t="str">
        <f t="array" ref="P62">IF(C62="","",IF(OR(O62="",O62=0),"-",O62))</f>
        <v/>
      </c>
      <c r="Q62" s="13">
</c>
      <c r="R62" s="9" cm="1" t="str">
        <f t="array" ref="R62">IF(C62="","",ROUND(Q62/1000000,3)&amp;" M€")</f>
        <v/>
      </c>
      <c r="S62" s="9">
</c>
      <c r="T62" s="9" cm="1" t="str">
        <f t="array" ref="T62">IF(C62="","",SUBSTITUTE(S62,"","")&amp;"%")</f>
        <v/>
      </c>
      <c r="U62" s="6" cm="1" t="str">
        <f t="array" ref="U62">IF(($N62="")*($P62=""),"",IF(($N62&lt;&gt;"")*($N62&gt;TODAY()-9)*($N62&lt;TODAY()+1)*($P62&lt;&gt;"")*($P62&gt;=TODAY())*($P62&lt;=TODAY()+13),"Semaine passée &amp; à venir",IF(($N62&lt;&gt;"")*($N62&gt;TODAY()-9)*($N62&lt;TODAY()+1),"Semaine passée",IF(($P62&lt;&gt;"")*($P62&gt;=TODAY())*($P62&lt;=TODAY()+13),"À venir","Autre"))))</f>
        <v/>
      </c>
      <c r="V62" s="5" cm="1" t="n">
        <f t="array" ref="V62">IF(C62&lt;&gt;"",1,0)</f>
        <v>0</v>
      </c>
      <c r="W62" s="5">
</c>
      <c r="X62" s="5">
</c>
      <c r="Y62" s="5">
</c>
      <c r="Z62" s="5">
</c>
      <c r="AA62" s="5">
</c>
      <c r="AB62" s="5">
</c>
      <c r="AC62" s="5">
</c>
      <c r="AD62" s="5">
</c>
      <c r="AE62" s="5">
</c>
      <c r="AF62" s="5">
</c>
      <c r="AG62" s="5">
</c>
      <c r="AH62" s="5">
</c>
      <c r="AI62" s="5">
</c>
      <c r="AJ62" s="5">
</c>
    </row>
    <row r="63" ht="70.5" customHeight="1">
      <c r="A63" s="6">
</c>
      <c r="B63" s="6">
</c>
      <c r="C63" s="9">
</c>
      <c r="D63" s="9">
</c>
      <c r="E63" s="6">
</c>
      <c r="F63" s="5">
</c>
      <c r="G63" s="10" cm="1" t="str">
        <f t="array" ref="G63">IF(F63="","",SUBSTITUTE(SUBSTITUTE(SUBSTITUTE(SUBSTITUTE(F63,"&lt;li&gt;",CHAR(10)),"&lt;/li&gt;",""),"&lt;br&gt;",CHAR(10)),"&lt;strong&gt;",""))</f>
        <v/>
      </c>
      <c r="H63" s="10" cm="1" t="str">
        <f t="array" ref="H63">IF(G63="","",SUBSTITUTE(SUBSTITUTE(SUBSTITUTE(SUBSTITUTE(SUBSTITUTE(G63,"&lt;p&gt;",""),"&lt;/p&gt;",""),"&lt;ul&gt;",""),"&lt;/ul&gt;",""),"&lt;/strong&gt;",""))</f>
        <v/>
      </c>
      <c r="I63" s="11" cm="1" t="str">
        <f t="array" ref="I63">IF(C63="","",IF(OR(H63="",H63=0,H63=FALSE),"-",H63))</f>
        <v/>
      </c>
      <c r="J63" s="5">
</c>
      <c r="K63" s="6">
</c>
      <c r="L63" s="6" cm="1" t="str">
        <f t="array" ref="L63">IF(C63="","",IF(K63="Mort / Plus rien à faire","KO","OK"))</f>
        <v/>
      </c>
      <c r="M63" s="12">
</c>
      <c r="N63" s="12" cm="1" t="str">
        <f t="array" ref="N63">IF(OR(C63="",M63="",M63=0),"",M63)</f>
        <v/>
      </c>
      <c r="O63" s="12">
</c>
      <c r="P63" s="12" cm="1" t="str">
        <f t="array" ref="P63">IF(C63="","",IF(OR(O63="",O63=0),"-",O63))</f>
        <v/>
      </c>
      <c r="Q63" s="13">
</c>
      <c r="R63" s="9" cm="1" t="str">
        <f t="array" ref="R63">IF(C63="","",ROUND(Q63/1000000,3)&amp;" M€")</f>
        <v/>
      </c>
      <c r="S63" s="9">
</c>
      <c r="T63" s="9" cm="1" t="str">
        <f t="array" ref="T63">IF(C63="","",SUBSTITUTE(S63,"","")&amp;"%")</f>
        <v/>
      </c>
      <c r="U63" s="6" cm="1" t="str">
        <f t="array" ref="U63">IF(($N63="")*($P63=""),"",IF(($N63&lt;&gt;"")*($N63&gt;TODAY()-9)*($N63&lt;TODAY()+1)*($P63&lt;&gt;"")*($P63&gt;=TODAY())*($P63&lt;=TODAY()+13),"Semaine passée &amp; à venir",IF(($N63&lt;&gt;"")*($N63&gt;TODAY()-9)*($N63&lt;TODAY()+1),"Semaine passée",IF(($P63&lt;&gt;"")*($P63&gt;=TODAY())*($P63&lt;=TODAY()+13),"À venir","Autre"))))</f>
        <v/>
      </c>
      <c r="V63" s="5" cm="1" t="n">
        <f t="array" ref="V63">IF(C63&lt;&gt;"",1,0)</f>
        <v>0</v>
      </c>
      <c r="W63" s="5">
</c>
      <c r="X63" s="5">
</c>
      <c r="Y63" s="5">
</c>
      <c r="Z63" s="5">
</c>
      <c r="AA63" s="5">
</c>
      <c r="AB63" s="5">
</c>
      <c r="AC63" s="5">
</c>
      <c r="AD63" s="5">
</c>
      <c r="AE63" s="5">
</c>
      <c r="AF63" s="5">
</c>
      <c r="AG63" s="5">
</c>
      <c r="AH63" s="5">
</c>
      <c r="AI63" s="5">
</c>
      <c r="AJ63" s="5">
</c>
    </row>
    <row r="64" ht="70.5" customHeight="1">
      <c r="A64" s="6">
</c>
      <c r="B64" s="6">
</c>
      <c r="C64" s="9">
</c>
      <c r="D64" s="9">
</c>
      <c r="E64" s="6">
</c>
      <c r="F64" s="5">
</c>
      <c r="G64" s="10" cm="1" t="str">
        <f t="array" ref="G64">IF(F64="","",SUBSTITUTE(SUBSTITUTE(SUBSTITUTE(SUBSTITUTE(F64,"&lt;li&gt;",CHAR(10)),"&lt;/li&gt;",""),"&lt;br&gt;",CHAR(10)),"&lt;strong&gt;",""))</f>
        <v/>
      </c>
      <c r="H64" s="10" cm="1" t="str">
        <f t="array" ref="H64">IF(G64="","",SUBSTITUTE(SUBSTITUTE(SUBSTITUTE(SUBSTITUTE(SUBSTITUTE(G64,"&lt;p&gt;",""),"&lt;/p&gt;",""),"&lt;ul&gt;",""),"&lt;/ul&gt;",""),"&lt;/strong&gt;",""))</f>
        <v/>
      </c>
      <c r="I64" s="11" cm="1" t="str">
        <f t="array" ref="I64">IF(C64="","",IF(OR(H64="",H64=0,H64=FALSE),"-",H64))</f>
        <v/>
      </c>
      <c r="J64" s="5">
</c>
      <c r="K64" s="6">
</c>
      <c r="L64" s="6" cm="1" t="str">
        <f t="array" ref="L64">IF(C64="","",IF(K64="Mort / Plus rien à faire","KO","OK"))</f>
        <v/>
      </c>
      <c r="M64" s="12">
</c>
      <c r="N64" s="12" cm="1" t="str">
        <f t="array" ref="N64">IF(OR(C64="",M64="",M64=0),"",M64)</f>
        <v/>
      </c>
      <c r="O64" s="12">
</c>
      <c r="P64" s="12" cm="1" t="str">
        <f t="array" ref="P64">IF(C64="","",IF(OR(O64="",O64=0),"-",O64))</f>
        <v/>
      </c>
      <c r="Q64" s="13">
</c>
      <c r="R64" s="9" cm="1" t="str">
        <f t="array" ref="R64">IF(C64="","",ROUND(Q64/1000000,3)&amp;" M€")</f>
        <v/>
      </c>
      <c r="S64" s="9">
</c>
      <c r="T64" s="9" cm="1" t="str">
        <f t="array" ref="T64">IF(C64="","",SUBSTITUTE(S64,"","")&amp;"%")</f>
        <v/>
      </c>
      <c r="U64" s="6" cm="1" t="str">
        <f t="array" ref="U64">IF(($N64="")*($P64=""),"",IF(($N64&lt;&gt;"")*($N64&gt;TODAY()-9)*($N64&lt;TODAY()+1)*($P64&lt;&gt;"")*($P64&gt;=TODAY())*($P64&lt;=TODAY()+13),"Semaine passée &amp; à venir",IF(($N64&lt;&gt;"")*($N64&gt;TODAY()-9)*($N64&lt;TODAY()+1),"Semaine passée",IF(($P64&lt;&gt;"")*($P64&gt;=TODAY())*($P64&lt;=TODAY()+13),"À venir","Autre"))))</f>
        <v/>
      </c>
      <c r="V64" s="5" cm="1" t="n">
        <f t="array" ref="V64">IF(C64&lt;&gt;"",1,0)</f>
        <v>0</v>
      </c>
      <c r="W64" s="5">
</c>
      <c r="X64" s="5">
</c>
      <c r="Y64" s="5">
</c>
      <c r="Z64" s="5">
</c>
      <c r="AA64" s="5">
</c>
      <c r="AB64" s="5">
</c>
      <c r="AC64" s="5">
</c>
      <c r="AD64" s="5">
</c>
      <c r="AE64" s="5">
</c>
      <c r="AF64" s="5">
</c>
      <c r="AG64" s="5">
</c>
      <c r="AH64" s="5">
</c>
      <c r="AI64" s="5">
</c>
      <c r="AJ64" s="5">
</c>
    </row>
    <row r="65" ht="70.5" customHeight="1">
      <c r="A65" s="6">
</c>
      <c r="B65" s="6">
</c>
      <c r="C65" s="9">
</c>
      <c r="D65" s="9">
</c>
      <c r="E65" s="6">
</c>
      <c r="F65" s="5">
</c>
      <c r="G65" s="10" cm="1" t="str">
        <f t="array" ref="G65">IF(F65="","",SUBSTITUTE(SUBSTITUTE(SUBSTITUTE(SUBSTITUTE(F65,"&lt;li&gt;",CHAR(10)),"&lt;/li&gt;",""),"&lt;br&gt;",CHAR(10)),"&lt;strong&gt;",""))</f>
        <v/>
      </c>
      <c r="H65" s="10" cm="1" t="str">
        <f t="array" ref="H65">IF(G65="","",SUBSTITUTE(SUBSTITUTE(SUBSTITUTE(SUBSTITUTE(SUBSTITUTE(G65,"&lt;p&gt;",""),"&lt;/p&gt;",""),"&lt;ul&gt;",""),"&lt;/ul&gt;",""),"&lt;/strong&gt;",""))</f>
        <v/>
      </c>
      <c r="I65" s="11" cm="1" t="str">
        <f t="array" ref="I65">IF(C65="","",IF(OR(H65="",H65=0,H65=FALSE),"-",H65))</f>
        <v/>
      </c>
      <c r="J65" s="5">
</c>
      <c r="K65" s="6">
</c>
      <c r="L65" s="6" cm="1" t="str">
        <f t="array" ref="L65">IF(C65="","",IF(K65="Mort / Plus rien à faire","KO","OK"))</f>
        <v/>
      </c>
      <c r="M65" s="12">
</c>
      <c r="N65" s="12" cm="1" t="str">
        <f t="array" ref="N65">IF(OR(C65="",M65="",M65=0),"",M65)</f>
        <v/>
      </c>
      <c r="O65" s="12">
</c>
      <c r="P65" s="12" cm="1" t="str">
        <f t="array" ref="P65">IF(C65="","",IF(OR(O65="",O65=0),"-",O65))</f>
        <v/>
      </c>
      <c r="Q65" s="13">
</c>
      <c r="R65" s="9" cm="1" t="str">
        <f t="array" ref="R65">IF(C65="","",ROUND(Q65/1000000,3)&amp;" M€")</f>
        <v/>
      </c>
      <c r="S65" s="9">
</c>
      <c r="T65" s="9" cm="1" t="str">
        <f t="array" ref="T65">IF(C65="","",SUBSTITUTE(S65,"","")&amp;"%")</f>
        <v/>
      </c>
      <c r="U65" s="6" cm="1" t="str">
        <f t="array" ref="U65">IF(($N65="")*($P65=""),"",IF(($N65&lt;&gt;"")*($N65&gt;TODAY()-9)*($N65&lt;TODAY()+1)*($P65&lt;&gt;"")*($P65&gt;=TODAY())*($P65&lt;=TODAY()+13),"Semaine passée &amp; à venir",IF(($N65&lt;&gt;"")*($N65&gt;TODAY()-9)*($N65&lt;TODAY()+1),"Semaine passée",IF(($P65&lt;&gt;"")*($P65&gt;=TODAY())*($P65&lt;=TODAY()+13),"À venir","Autre"))))</f>
        <v/>
      </c>
      <c r="V65" s="5" cm="1" t="n">
        <f t="array" ref="V65">IF(C65&lt;&gt;"",1,0)</f>
        <v>0</v>
      </c>
      <c r="W65" s="5">
</c>
      <c r="X65" s="5">
</c>
      <c r="Y65" s="5">
</c>
      <c r="Z65" s="5">
</c>
      <c r="AA65" s="5">
</c>
      <c r="AB65" s="5">
</c>
      <c r="AC65" s="5">
</c>
      <c r="AD65" s="5">
</c>
      <c r="AE65" s="5">
</c>
      <c r="AF65" s="5">
</c>
      <c r="AG65" s="5">
</c>
      <c r="AH65" s="5">
</c>
      <c r="AI65" s="5">
</c>
      <c r="AJ65" s="5">
</c>
    </row>
    <row r="66" ht="70.5" customHeight="1">
      <c r="A66" s="6">
</c>
      <c r="B66" s="6">
</c>
      <c r="C66" s="9">
</c>
      <c r="D66" s="9">
</c>
      <c r="E66" s="6">
</c>
      <c r="F66" s="5">
</c>
      <c r="G66" s="10" cm="1" t="str">
        <f t="array" ref="G66">IF(F66="","",SUBSTITUTE(SUBSTITUTE(SUBSTITUTE(SUBSTITUTE(F66,"&lt;li&gt;",CHAR(10)),"&lt;/li&gt;",""),"&lt;br&gt;",CHAR(10)),"&lt;strong&gt;",""))</f>
        <v/>
      </c>
      <c r="H66" s="10" cm="1" t="str">
        <f t="array" ref="H66">IF(G66="","",SUBSTITUTE(SUBSTITUTE(SUBSTITUTE(SUBSTITUTE(SUBSTITUTE(G66,"&lt;p&gt;",""),"&lt;/p&gt;",""),"&lt;ul&gt;",""),"&lt;/ul&gt;",""),"&lt;/strong&gt;",""))</f>
        <v/>
      </c>
      <c r="I66" s="11" cm="1" t="str">
        <f t="array" ref="I66">IF(C66="","",IF(OR(H66="",H66=0,H66=FALSE),"-",H66))</f>
        <v/>
      </c>
      <c r="J66" s="5">
</c>
      <c r="K66" s="6">
</c>
      <c r="L66" s="6" cm="1" t="str">
        <f t="array" ref="L66">IF(C66="","",IF(K66="Mort / Plus rien à faire","KO","OK"))</f>
        <v/>
      </c>
      <c r="M66" s="12">
</c>
      <c r="N66" s="12" cm="1" t="str">
        <f t="array" ref="N66">IF(OR(C66="",M66="",M66=0),"",M66)</f>
        <v/>
      </c>
      <c r="O66" s="12">
</c>
      <c r="P66" s="12" cm="1" t="str">
        <f t="array" ref="P66">IF(C66="","",IF(OR(O66="",O66=0),"-",O66))</f>
        <v/>
      </c>
      <c r="Q66" s="13">
</c>
      <c r="R66" s="9" cm="1" t="str">
        <f t="array" ref="R66">IF(C66="","",ROUND(Q66/1000000,3)&amp;" M€")</f>
        <v/>
      </c>
      <c r="S66" s="9">
</c>
      <c r="T66" s="9" cm="1" t="str">
        <f t="array" ref="T66">IF(C66="","",SUBSTITUTE(S66,"","")&amp;"%")</f>
        <v/>
      </c>
      <c r="U66" s="6" cm="1" t="str">
        <f t="array" ref="U66">IF(($N66="")*($P66=""),"",IF(($N66&lt;&gt;"")*($N66&gt;TODAY()-9)*($N66&lt;TODAY()+1)*($P66&lt;&gt;"")*($P66&gt;=TODAY())*($P66&lt;=TODAY()+13),"Semaine passée &amp; à venir",IF(($N66&lt;&gt;"")*($N66&gt;TODAY()-9)*($N66&lt;TODAY()+1),"Semaine passée",IF(($P66&lt;&gt;"")*($P66&gt;=TODAY())*($P66&lt;=TODAY()+13),"À venir","Autre"))))</f>
        <v/>
      </c>
      <c r="V66" s="5" cm="1" t="n">
        <f t="array" ref="V66">IF(C66&lt;&gt;"",1,0)</f>
        <v>0</v>
      </c>
      <c r="W66" s="5">
</c>
      <c r="X66" s="5">
</c>
      <c r="Y66" s="5">
</c>
      <c r="Z66" s="5">
</c>
      <c r="AA66" s="5">
</c>
      <c r="AB66" s="5">
</c>
      <c r="AC66" s="5">
</c>
      <c r="AD66" s="5">
</c>
      <c r="AE66" s="5">
</c>
      <c r="AF66" s="5">
</c>
      <c r="AG66" s="5">
</c>
      <c r="AH66" s="5">
</c>
      <c r="AI66" s="5">
</c>
      <c r="AJ66" s="5">
</c>
    </row>
    <row r="67" ht="70.5" customHeight="1">
      <c r="A67" s="6">
</c>
      <c r="B67" s="6">
</c>
      <c r="C67" s="9">
</c>
      <c r="D67" s="9">
</c>
      <c r="E67" s="6">
</c>
      <c r="F67" s="5">
</c>
      <c r="G67" s="10" cm="1" t="str">
        <f t="array" ref="G67">IF(F67="","",SUBSTITUTE(SUBSTITUTE(SUBSTITUTE(SUBSTITUTE(F67,"&lt;li&gt;",CHAR(10)),"&lt;/li&gt;",""),"&lt;br&gt;",CHAR(10)),"&lt;strong&gt;",""))</f>
        <v/>
      </c>
      <c r="H67" s="10" cm="1" t="str">
        <f t="array" ref="H67">IF(G67="","",SUBSTITUTE(SUBSTITUTE(SUBSTITUTE(SUBSTITUTE(SUBSTITUTE(G67,"&lt;p&gt;",""),"&lt;/p&gt;",""),"&lt;ul&gt;",""),"&lt;/ul&gt;",""),"&lt;/strong&gt;",""))</f>
        <v/>
      </c>
      <c r="I67" s="11" cm="1" t="str">
        <f t="array" ref="I67">IF(C67="","",IF(OR(H67="",H67=0,H67=FALSE),"-",H67))</f>
        <v/>
      </c>
      <c r="J67" s="5">
</c>
      <c r="K67" s="6">
</c>
      <c r="L67" s="6" cm="1" t="str">
        <f t="array" ref="L67">IF(C67="","",IF(K67="Mort / Plus rien à faire","KO","OK"))</f>
        <v/>
      </c>
      <c r="M67" s="12">
</c>
      <c r="N67" s="12" cm="1" t="str">
        <f t="array" ref="N67">IF(OR(C67="",M67="",M67=0),"",M67)</f>
        <v/>
      </c>
      <c r="O67" s="12">
</c>
      <c r="P67" s="12" cm="1" t="str">
        <f t="array" ref="P67">IF(C67="","",IF(OR(O67="",O67=0),"-",O67))</f>
        <v/>
      </c>
      <c r="Q67" s="13">
</c>
      <c r="R67" s="9" cm="1" t="str">
        <f t="array" ref="R67">IF(C67="","",ROUND(Q67/1000000,3)&amp;" M€")</f>
        <v/>
      </c>
      <c r="S67" s="9">
</c>
      <c r="T67" s="9" cm="1" t="str">
        <f t="array" ref="T67">IF(C67="","",SUBSTITUTE(S67,"","")&amp;"%")</f>
        <v/>
      </c>
      <c r="U67" s="6" cm="1" t="str">
        <f t="array" ref="U67">IF(($N67="")*($P67=""),"",IF(($N67&lt;&gt;"")*($N67&gt;TODAY()-9)*($N67&lt;TODAY()+1)*($P67&lt;&gt;"")*($P67&gt;=TODAY())*($P67&lt;=TODAY()+13),"Semaine passée &amp; à venir",IF(($N67&lt;&gt;"")*($N67&gt;TODAY()-9)*($N67&lt;TODAY()+1),"Semaine passée",IF(($P67&lt;&gt;"")*($P67&gt;=TODAY())*($P67&lt;=TODAY()+13),"À venir","Autre"))))</f>
        <v/>
      </c>
      <c r="V67" s="5" cm="1" t="n">
        <f t="array" ref="V67">IF(C67&lt;&gt;"",1,0)</f>
        <v>0</v>
      </c>
      <c r="W67" s="5">
</c>
      <c r="X67" s="5">
</c>
      <c r="Y67" s="5">
</c>
      <c r="Z67" s="5">
</c>
      <c r="AA67" s="5">
</c>
      <c r="AB67" s="5">
</c>
      <c r="AC67" s="5">
</c>
      <c r="AD67" s="5">
</c>
      <c r="AE67" s="5">
</c>
      <c r="AF67" s="5">
</c>
      <c r="AG67" s="5">
</c>
      <c r="AH67" s="5">
</c>
      <c r="AI67" s="5">
</c>
      <c r="AJ67" s="5">
</c>
    </row>
    <row r="68" ht="70.5" customHeight="1">
      <c r="A68" s="6">
</c>
      <c r="B68" s="6">
</c>
      <c r="C68" s="9">
</c>
      <c r="D68" s="9">
</c>
      <c r="E68" s="6">
</c>
      <c r="F68" s="5">
</c>
      <c r="G68" s="10" cm="1" t="str">
        <f t="array" ref="G68">IF(F68="","",SUBSTITUTE(SUBSTITUTE(SUBSTITUTE(SUBSTITUTE(F68,"&lt;li&gt;",CHAR(10)),"&lt;/li&gt;",""),"&lt;br&gt;",CHAR(10)),"&lt;strong&gt;",""))</f>
        <v/>
      </c>
      <c r="H68" s="10" cm="1" t="str">
        <f t="array" ref="H68">IF(G68="","",SUBSTITUTE(SUBSTITUTE(SUBSTITUTE(SUBSTITUTE(SUBSTITUTE(G68,"&lt;p&gt;",""),"&lt;/p&gt;",""),"&lt;ul&gt;",""),"&lt;/ul&gt;",""),"&lt;/strong&gt;",""))</f>
        <v/>
      </c>
      <c r="I68" s="11" cm="1" t="str">
        <f t="array" ref="I68">IF(C68="","",IF(OR(H68="",H68=0,H68=FALSE),"-",H68))</f>
        <v/>
      </c>
      <c r="J68" s="5">
</c>
      <c r="K68" s="6">
</c>
      <c r="L68" s="6" cm="1" t="str">
        <f t="array" ref="L68">IF(C68="","",IF(K68="Mort / Plus rien à faire","KO","OK"))</f>
        <v/>
      </c>
      <c r="M68" s="12">
</c>
      <c r="N68" s="12" cm="1" t="str">
        <f t="array" ref="N68">IF(OR(C68="",M68="",M68=0),"",M68)</f>
        <v/>
      </c>
      <c r="O68" s="12">
</c>
      <c r="P68" s="12" cm="1" t="str">
        <f t="array" ref="P68">IF(C68="","",IF(OR(O68="",O68=0),"-",O68))</f>
        <v/>
      </c>
      <c r="Q68" s="13">
</c>
      <c r="R68" s="9" cm="1" t="str">
        <f t="array" ref="R68">IF(C68="","",ROUND(Q68/1000000,3)&amp;" M€")</f>
        <v/>
      </c>
      <c r="S68" s="9">
</c>
      <c r="T68" s="9" cm="1" t="str">
        <f t="array" ref="T68">IF(C68="","",SUBSTITUTE(S68,"","")&amp;"%")</f>
        <v/>
      </c>
      <c r="U68" s="6" cm="1" t="str">
        <f t="array" ref="U68">IF(($N68="")*($P68=""),"",IF(($N68&lt;&gt;"")*($N68&gt;TODAY()-9)*($N68&lt;TODAY()+1)*($P68&lt;&gt;"")*($P68&gt;=TODAY())*($P68&lt;=TODAY()+13),"Semaine passée &amp; à venir",IF(($N68&lt;&gt;"")*($N68&gt;TODAY()-9)*($N68&lt;TODAY()+1),"Semaine passée",IF(($P68&lt;&gt;"")*($P68&gt;=TODAY())*($P68&lt;=TODAY()+13),"À venir","Autre"))))</f>
        <v/>
      </c>
      <c r="V68" s="5" cm="1" t="n">
        <f t="array" ref="V68">IF(C68&lt;&gt;"",1,0)</f>
        <v>0</v>
      </c>
      <c r="W68" s="5">
</c>
      <c r="X68" s="5">
</c>
      <c r="Y68" s="5">
</c>
      <c r="Z68" s="5">
</c>
      <c r="AA68" s="5">
</c>
      <c r="AB68" s="5">
</c>
      <c r="AC68" s="5">
</c>
      <c r="AD68" s="5">
</c>
      <c r="AE68" s="5">
</c>
      <c r="AF68" s="5">
</c>
      <c r="AG68" s="5">
</c>
      <c r="AH68" s="5">
</c>
      <c r="AI68" s="5">
</c>
      <c r="AJ68" s="5">
</c>
    </row>
    <row r="69" ht="70.5" customHeight="1">
      <c r="A69" s="6">
</c>
      <c r="B69" s="6">
</c>
      <c r="C69" s="9">
</c>
      <c r="D69" s="9">
</c>
      <c r="E69" s="6">
</c>
      <c r="F69" s="5">
</c>
      <c r="G69" s="10" cm="1" t="str">
        <f t="array" ref="G69">IF(F69="","",SUBSTITUTE(SUBSTITUTE(SUBSTITUTE(SUBSTITUTE(F69,"&lt;li&gt;",CHAR(10)),"&lt;/li&gt;",""),"&lt;br&gt;",CHAR(10)),"&lt;strong&gt;",""))</f>
        <v/>
      </c>
      <c r="H69" s="10" cm="1" t="str">
        <f t="array" ref="H69">IF(G69="","",SUBSTITUTE(SUBSTITUTE(SUBSTITUTE(SUBSTITUTE(SUBSTITUTE(G69,"&lt;p&gt;",""),"&lt;/p&gt;",""),"&lt;ul&gt;",""),"&lt;/ul&gt;",""),"&lt;/strong&gt;",""))</f>
        <v/>
      </c>
      <c r="I69" s="11" cm="1" t="str">
        <f t="array" ref="I69">IF(C69="","",IF(OR(H69="",H69=0,H69=FALSE),"-",H69))</f>
        <v/>
      </c>
      <c r="J69" s="5">
</c>
      <c r="K69" s="6">
</c>
      <c r="L69" s="6" cm="1" t="str">
        <f t="array" ref="L69">IF(C69="","",IF(K69="Mort / Plus rien à faire","KO","OK"))</f>
        <v/>
      </c>
      <c r="M69" s="12">
</c>
      <c r="N69" s="12" cm="1" t="str">
        <f t="array" ref="N69">IF(OR(C69="",M69="",M69=0),"",M69)</f>
        <v/>
      </c>
      <c r="O69" s="12">
</c>
      <c r="P69" s="12" cm="1" t="str">
        <f t="array" ref="P69">IF(C69="","",IF(OR(O69="",O69=0),"-",O69))</f>
        <v/>
      </c>
      <c r="Q69" s="13">
</c>
      <c r="R69" s="9" cm="1" t="str">
        <f t="array" ref="R69">IF(C69="","",ROUND(Q69/1000000,3)&amp;" M€")</f>
        <v/>
      </c>
      <c r="S69" s="9">
</c>
      <c r="T69" s="9" cm="1" t="str">
        <f t="array" ref="T69">IF(C69="","",SUBSTITUTE(S69,"","")&amp;"%")</f>
        <v/>
      </c>
      <c r="U69" s="6" cm="1" t="str">
        <f t="array" ref="U69">IF(($N69="")*($P69=""),"",IF(($N69&lt;&gt;"")*($N69&gt;TODAY()-9)*($N69&lt;TODAY()+1)*($P69&lt;&gt;"")*($P69&gt;=TODAY())*($P69&lt;=TODAY()+13),"Semaine passée &amp; à venir",IF(($N69&lt;&gt;"")*($N69&gt;TODAY()-9)*($N69&lt;TODAY()+1),"Semaine passée",IF(($P69&lt;&gt;"")*($P69&gt;=TODAY())*($P69&lt;=TODAY()+13),"À venir","Autre"))))</f>
        <v/>
      </c>
      <c r="V69" s="5" cm="1" t="n">
        <f t="array" ref="V69">IF(C69&lt;&gt;"",1,0)</f>
        <v>0</v>
      </c>
      <c r="W69" s="5">
</c>
      <c r="X69" s="5">
</c>
      <c r="Y69" s="5">
</c>
      <c r="Z69" s="5">
</c>
      <c r="AA69" s="5">
</c>
      <c r="AB69" s="5">
</c>
      <c r="AC69" s="5">
</c>
      <c r="AD69" s="5">
</c>
      <c r="AE69" s="5">
</c>
      <c r="AF69" s="5">
</c>
      <c r="AG69" s="5">
</c>
      <c r="AH69" s="5">
</c>
      <c r="AI69" s="5">
</c>
      <c r="AJ69" s="5">
</c>
    </row>
    <row r="70" ht="70.5" customHeight="1">
      <c r="A70" s="6">
</c>
      <c r="B70" s="6">
</c>
      <c r="C70" s="9">
</c>
      <c r="D70" s="9">
</c>
      <c r="E70" s="6">
</c>
      <c r="F70" s="5">
</c>
      <c r="G70" s="10" cm="1" t="str">
        <f t="array" ref="G70">IF(F70="","",SUBSTITUTE(SUBSTITUTE(SUBSTITUTE(SUBSTITUTE(F70,"&lt;li&gt;",CHAR(10)),"&lt;/li&gt;",""),"&lt;br&gt;",CHAR(10)),"&lt;strong&gt;",""))</f>
        <v/>
      </c>
      <c r="H70" s="10" cm="1" t="str">
        <f t="array" ref="H70">IF(G70="","",SUBSTITUTE(SUBSTITUTE(SUBSTITUTE(SUBSTITUTE(SUBSTITUTE(G70,"&lt;p&gt;",""),"&lt;/p&gt;",""),"&lt;ul&gt;",""),"&lt;/ul&gt;",""),"&lt;/strong&gt;",""))</f>
        <v/>
      </c>
      <c r="I70" s="11" cm="1" t="str">
        <f t="array" ref="I70">IF(C70="","",IF(OR(H70="",H70=0,H70=FALSE),"-",H70))</f>
        <v/>
      </c>
      <c r="J70" s="5">
</c>
      <c r="K70" s="6">
</c>
      <c r="L70" s="6" cm="1" t="str">
        <f t="array" ref="L70">IF(C70="","",IF(K70="Mort / Plus rien à faire","KO","OK"))</f>
        <v/>
      </c>
      <c r="M70" s="12">
</c>
      <c r="N70" s="12" cm="1" t="str">
        <f t="array" ref="N70">IF(OR(C70="",M70="",M70=0),"",M70)</f>
        <v/>
      </c>
      <c r="O70" s="12">
</c>
      <c r="P70" s="12" cm="1" t="str">
        <f t="array" ref="P70">IF(C70="","",IF(OR(O70="",O70=0),"-",O70))</f>
        <v/>
      </c>
      <c r="Q70" s="13">
</c>
      <c r="R70" s="9" cm="1" t="str">
        <f t="array" ref="R70">IF(C70="","",ROUND(Q70/1000000,3)&amp;" M€")</f>
        <v/>
      </c>
      <c r="S70" s="9">
</c>
      <c r="T70" s="9" cm="1" t="str">
        <f t="array" ref="T70">IF(C70="","",SUBSTITUTE(S70,"","")&amp;"%")</f>
        <v/>
      </c>
      <c r="U70" s="6" cm="1" t="str">
        <f t="array" ref="U70">IF(($N70="")*($P70=""),"",IF(($N70&lt;&gt;"")*($N70&gt;TODAY()-9)*($N70&lt;TODAY()+1)*($P70&lt;&gt;"")*($P70&gt;=TODAY())*($P70&lt;=TODAY()+13),"Semaine passée &amp; à venir",IF(($N70&lt;&gt;"")*($N70&gt;TODAY()-9)*($N70&lt;TODAY()+1),"Semaine passée",IF(($P70&lt;&gt;"")*($P70&gt;=TODAY())*($P70&lt;=TODAY()+13),"À venir","Autre"))))</f>
        <v/>
      </c>
      <c r="V70" s="5" cm="1" t="n">
        <f t="array" ref="V70">IF(C70&lt;&gt;"",1,0)</f>
        <v>0</v>
      </c>
      <c r="W70" s="5">
</c>
      <c r="X70" s="5">
</c>
      <c r="Y70" s="5">
</c>
      <c r="Z70" s="5">
</c>
      <c r="AA70" s="5">
</c>
      <c r="AB70" s="5">
</c>
      <c r="AC70" s="5">
</c>
      <c r="AD70" s="5">
</c>
      <c r="AE70" s="5">
</c>
      <c r="AF70" s="5">
</c>
      <c r="AG70" s="5">
</c>
      <c r="AH70" s="5">
</c>
      <c r="AI70" s="5">
</c>
      <c r="AJ70" s="5">
</c>
    </row>
    <row r="71" ht="70.5" customHeight="1">
      <c r="A71" s="6">
</c>
      <c r="B71" s="6">
</c>
      <c r="C71" s="9">
</c>
      <c r="D71" s="9">
</c>
      <c r="E71" s="6">
</c>
      <c r="F71" s="5">
</c>
      <c r="G71" s="10" cm="1" t="str">
        <f t="array" ref="G71">IF(F71="","",SUBSTITUTE(SUBSTITUTE(SUBSTITUTE(SUBSTITUTE(F71,"&lt;li&gt;",CHAR(10)),"&lt;/li&gt;",""),"&lt;br&gt;",CHAR(10)),"&lt;strong&gt;",""))</f>
        <v/>
      </c>
      <c r="H71" s="10" cm="1" t="str">
        <f t="array" ref="H71">IF(G71="","",SUBSTITUTE(SUBSTITUTE(SUBSTITUTE(SUBSTITUTE(SUBSTITUTE(G71,"&lt;p&gt;",""),"&lt;/p&gt;",""),"&lt;ul&gt;",""),"&lt;/ul&gt;",""),"&lt;/strong&gt;",""))</f>
        <v/>
      </c>
      <c r="I71" s="11" cm="1" t="str">
        <f t="array" ref="I71">IF(C71="","",IF(OR(H71="",H71=0,H71=FALSE),"-",H71))</f>
        <v/>
      </c>
      <c r="J71" s="5">
</c>
      <c r="K71" s="6">
</c>
      <c r="L71" s="6" cm="1" t="str">
        <f t="array" ref="L71">IF(C71="","",IF(K71="Mort / Plus rien à faire","KO","OK"))</f>
        <v/>
      </c>
      <c r="M71" s="12">
</c>
      <c r="N71" s="12" cm="1" t="str">
        <f t="array" ref="N71">IF(OR(C71="",M71="",M71=0),"",M71)</f>
        <v/>
      </c>
      <c r="O71" s="12">
</c>
      <c r="P71" s="12" cm="1" t="str">
        <f t="array" ref="P71">IF(C71="","",IF(OR(O71="",O71=0),"-",O71))</f>
        <v/>
      </c>
      <c r="Q71" s="13">
</c>
      <c r="R71" s="9" cm="1" t="str">
        <f t="array" ref="R71">IF(C71="","",ROUND(Q71/1000000,3)&amp;" M€")</f>
        <v/>
      </c>
      <c r="S71" s="9">
</c>
      <c r="T71" s="9" cm="1" t="str">
        <f t="array" ref="T71">IF(C71="","",SUBSTITUTE(S71,"","")&amp;"%")</f>
        <v/>
      </c>
      <c r="U71" s="6" cm="1" t="str">
        <f t="array" ref="U71">IF(($N71="")*($P71=""),"",IF(($N71&lt;&gt;"")*($N71&gt;TODAY()-9)*($N71&lt;TODAY()+1)*($P71&lt;&gt;"")*($P71&gt;=TODAY())*($P71&lt;=TODAY()+13),"Semaine passée &amp; à venir",IF(($N71&lt;&gt;"")*($N71&gt;TODAY()-9)*($N71&lt;TODAY()+1),"Semaine passée",IF(($P71&lt;&gt;"")*($P71&gt;=TODAY())*($P71&lt;=TODAY()+13),"À venir","Autre"))))</f>
        <v/>
      </c>
      <c r="V71" s="5" cm="1" t="n">
        <f t="array" ref="V71">IF(C71&lt;&gt;"",1,0)</f>
        <v>0</v>
      </c>
      <c r="W71" s="5">
</c>
      <c r="X71" s="5">
</c>
      <c r="Y71" s="5">
</c>
      <c r="Z71" s="5">
</c>
      <c r="AA71" s="5">
</c>
      <c r="AB71" s="5">
</c>
      <c r="AC71" s="5">
</c>
      <c r="AD71" s="5">
</c>
      <c r="AE71" s="5">
</c>
      <c r="AF71" s="5">
</c>
      <c r="AG71" s="5">
</c>
      <c r="AH71" s="5">
</c>
      <c r="AI71" s="5">
</c>
      <c r="AJ71" s="5">
</c>
    </row>
    <row r="72" ht="70.5" customHeight="1">
      <c r="A72" s="6">
</c>
      <c r="B72" s="6">
</c>
      <c r="C72" s="9">
</c>
      <c r="D72" s="9">
</c>
      <c r="E72" s="6">
</c>
      <c r="F72" s="5">
</c>
      <c r="G72" s="10" cm="1" t="str">
        <f t="array" ref="G72">IF(F72="","",SUBSTITUTE(SUBSTITUTE(SUBSTITUTE(SUBSTITUTE(F72,"&lt;li&gt;",CHAR(10)),"&lt;/li&gt;",""),"&lt;br&gt;",CHAR(10)),"&lt;strong&gt;",""))</f>
        <v/>
      </c>
      <c r="H72" s="10" cm="1" t="str">
        <f t="array" ref="H72">IF(G72="","",SUBSTITUTE(SUBSTITUTE(SUBSTITUTE(SUBSTITUTE(SUBSTITUTE(G72,"&lt;p&gt;",""),"&lt;/p&gt;",""),"&lt;ul&gt;",""),"&lt;/ul&gt;",""),"&lt;/strong&gt;",""))</f>
        <v/>
      </c>
      <c r="I72" s="11" cm="1" t="str">
        <f t="array" ref="I72">IF(C72="","",IF(OR(H72="",H72=0,H72=FALSE),"-",H72))</f>
        <v/>
      </c>
      <c r="J72" s="5">
</c>
      <c r="K72" s="6">
</c>
      <c r="L72" s="6" cm="1" t="str">
        <f t="array" ref="L72">IF(C72="","",IF(K72="Mort / Plus rien à faire","KO","OK"))</f>
        <v/>
      </c>
      <c r="M72" s="12">
</c>
      <c r="N72" s="12" cm="1" t="str">
        <f t="array" ref="N72">IF(OR(C72="",M72="",M72=0),"",M72)</f>
        <v/>
      </c>
      <c r="O72" s="12">
</c>
      <c r="P72" s="12" cm="1" t="str">
        <f t="array" ref="P72">IF(C72="","",IF(OR(O72="",O72=0),"-",O72))</f>
        <v/>
      </c>
      <c r="Q72" s="13">
</c>
      <c r="R72" s="9" cm="1" t="str">
        <f t="array" ref="R72">IF(C72="","",ROUND(Q72/1000000,3)&amp;" M€")</f>
        <v/>
      </c>
      <c r="S72" s="9">
</c>
      <c r="T72" s="9" cm="1" t="str">
        <f t="array" ref="T72">IF(C72="","",SUBSTITUTE(S72,"","")&amp;"%")</f>
        <v/>
      </c>
      <c r="U72" s="6" cm="1" t="str">
        <f t="array" ref="U72">IF(($N72="")*($P72=""),"",IF(($N72&lt;&gt;"")*($N72&gt;TODAY()-9)*($N72&lt;TODAY()+1)*($P72&lt;&gt;"")*($P72&gt;=TODAY())*($P72&lt;=TODAY()+13),"Semaine passée &amp; à venir",IF(($N72&lt;&gt;"")*($N72&gt;TODAY()-9)*($N72&lt;TODAY()+1),"Semaine passée",IF(($P72&lt;&gt;"")*($P72&gt;=TODAY())*($P72&lt;=TODAY()+13),"À venir","Autre"))))</f>
        <v/>
      </c>
      <c r="V72" s="5" cm="1" t="n">
        <f t="array" ref="V72">IF(C72&lt;&gt;"",1,0)</f>
        <v>0</v>
      </c>
      <c r="W72" s="5">
</c>
      <c r="X72" s="5">
</c>
      <c r="Y72" s="5">
</c>
      <c r="Z72" s="5">
</c>
      <c r="AA72" s="5">
</c>
      <c r="AB72" s="5">
</c>
      <c r="AC72" s="5">
</c>
      <c r="AD72" s="5">
</c>
      <c r="AE72" s="5">
</c>
      <c r="AF72" s="5">
</c>
      <c r="AG72" s="5">
</c>
      <c r="AH72" s="5">
</c>
      <c r="AI72" s="5">
</c>
      <c r="AJ72" s="5">
</c>
    </row>
    <row r="73" ht="70.5" customHeight="1">
      <c r="A73" s="6">
</c>
      <c r="B73" s="6">
</c>
      <c r="C73" s="9">
</c>
      <c r="D73" s="9">
</c>
      <c r="E73" s="6">
</c>
      <c r="F73" s="5">
</c>
      <c r="G73" s="10" cm="1" t="str">
        <f t="array" ref="G73">IF(F73="","",SUBSTITUTE(SUBSTITUTE(SUBSTITUTE(SUBSTITUTE(F73,"&lt;li&gt;",CHAR(10)),"&lt;/li&gt;",""),"&lt;br&gt;",CHAR(10)),"&lt;strong&gt;",""))</f>
        <v/>
      </c>
      <c r="H73" s="10" cm="1" t="str">
        <f t="array" ref="H73">IF(G73="","",SUBSTITUTE(SUBSTITUTE(SUBSTITUTE(SUBSTITUTE(SUBSTITUTE(G73,"&lt;p&gt;",""),"&lt;/p&gt;",""),"&lt;ul&gt;",""),"&lt;/ul&gt;",""),"&lt;/strong&gt;",""))</f>
        <v/>
      </c>
      <c r="I73" s="11" cm="1" t="str">
        <f t="array" ref="I73">IF(C73="","",IF(OR(H73="",H73=0,H73=FALSE),"-",H73))</f>
        <v/>
      </c>
      <c r="J73" s="5">
</c>
      <c r="K73" s="6">
</c>
      <c r="L73" s="6" cm="1" t="str">
        <f t="array" ref="L73">IF(C73="","",IF(K73="Mort / Plus rien à faire","KO","OK"))</f>
        <v/>
      </c>
      <c r="M73" s="12">
</c>
      <c r="N73" s="12" cm="1" t="str">
        <f t="array" ref="N73">IF(OR(C73="",M73="",M73=0),"",M73)</f>
        <v/>
      </c>
      <c r="O73" s="12">
</c>
      <c r="P73" s="12" cm="1" t="str">
        <f t="array" ref="P73">IF(C73="","",IF(OR(O73="",O73=0),"-",O73))</f>
        <v/>
      </c>
      <c r="Q73" s="13">
</c>
      <c r="R73" s="9" cm="1" t="str">
        <f t="array" ref="R73">IF(C73="","",ROUND(Q73/1000000,3)&amp;" M€")</f>
        <v/>
      </c>
      <c r="S73" s="9">
</c>
      <c r="T73" s="9" cm="1" t="str">
        <f t="array" ref="T73">IF(C73="","",SUBSTITUTE(S73,"","")&amp;"%")</f>
        <v/>
      </c>
      <c r="U73" s="6" cm="1" t="str">
        <f t="array" ref="U73">IF(($N73="")*($P73=""),"",IF(($N73&lt;&gt;"")*($N73&gt;TODAY()-9)*($N73&lt;TODAY()+1)*($P73&lt;&gt;"")*($P73&gt;=TODAY())*($P73&lt;=TODAY()+13),"Semaine passée &amp; à venir",IF(($N73&lt;&gt;"")*($N73&gt;TODAY()-9)*($N73&lt;TODAY()+1),"Semaine passée",IF(($P73&lt;&gt;"")*($P73&gt;=TODAY())*($P73&lt;=TODAY()+13),"À venir","Autre"))))</f>
        <v/>
      </c>
      <c r="V73" s="5" cm="1" t="n">
        <f t="array" ref="V73">IF(C73&lt;&gt;"",1,0)</f>
        <v>0</v>
      </c>
      <c r="W73" s="5">
</c>
      <c r="X73" s="5">
</c>
      <c r="Y73" s="5">
</c>
      <c r="Z73" s="5">
</c>
      <c r="AA73" s="5">
</c>
      <c r="AB73" s="5">
</c>
      <c r="AC73" s="5">
</c>
      <c r="AD73" s="5">
</c>
      <c r="AE73" s="5">
</c>
      <c r="AF73" s="5">
</c>
      <c r="AG73" s="5">
</c>
      <c r="AH73" s="5">
</c>
      <c r="AI73" s="5">
</c>
      <c r="AJ73" s="5">
</c>
    </row>
    <row r="74" ht="70.5" customHeight="1">
      <c r="A74" s="6">
</c>
      <c r="B74" s="6">
</c>
      <c r="C74" s="9">
</c>
      <c r="D74" s="9">
</c>
      <c r="E74" s="6">
</c>
      <c r="F74" s="5">
</c>
      <c r="G74" s="10" cm="1" t="str">
        <f t="array" ref="G74">IF(F74="","",SUBSTITUTE(SUBSTITUTE(SUBSTITUTE(SUBSTITUTE(F74,"&lt;li&gt;",CHAR(10)),"&lt;/li&gt;",""),"&lt;br&gt;",CHAR(10)),"&lt;strong&gt;",""))</f>
        <v/>
      </c>
      <c r="H74" s="10" cm="1" t="str">
        <f t="array" ref="H74">IF(G74="","",SUBSTITUTE(SUBSTITUTE(SUBSTITUTE(SUBSTITUTE(SUBSTITUTE(G74,"&lt;p&gt;",""),"&lt;/p&gt;",""),"&lt;ul&gt;",""),"&lt;/ul&gt;",""),"&lt;/strong&gt;",""))</f>
        <v/>
      </c>
      <c r="I74" s="11" cm="1" t="str">
        <f t="array" ref="I74">IF(C74="","",IF(OR(H74="",H74=0,H74=FALSE),"-",H74))</f>
        <v/>
      </c>
      <c r="J74" s="5">
</c>
      <c r="K74" s="6">
</c>
      <c r="L74" s="6" cm="1" t="str">
        <f t="array" ref="L74">IF(C74="","",IF(K74="Mort / Plus rien à faire","KO","OK"))</f>
        <v/>
      </c>
      <c r="M74" s="12">
</c>
      <c r="N74" s="12" cm="1" t="str">
        <f t="array" ref="N74">IF(OR(C74="",M74="",M74=0),"",M74)</f>
        <v/>
      </c>
      <c r="O74" s="12">
</c>
      <c r="P74" s="12" cm="1" t="str">
        <f t="array" ref="P74">IF(C74="","",IF(OR(O74="",O74=0),"-",O74))</f>
        <v/>
      </c>
      <c r="Q74" s="13">
</c>
      <c r="R74" s="9" cm="1" t="str">
        <f t="array" ref="R74">IF(C74="","",ROUND(Q74/1000000,3)&amp;" M€")</f>
        <v/>
      </c>
      <c r="S74" s="9">
</c>
      <c r="T74" s="9" cm="1" t="str">
        <f t="array" ref="T74">IF(C74="","",SUBSTITUTE(S74,"","")&amp;"%")</f>
        <v/>
      </c>
      <c r="U74" s="6" cm="1" t="str">
        <f t="array" ref="U74">IF(($N74="")*($P74=""),"",IF(($N74&lt;&gt;"")*($N74&gt;TODAY()-9)*($N74&lt;TODAY()+1)*($P74&lt;&gt;"")*($P74&gt;=TODAY())*($P74&lt;=TODAY()+13),"Semaine passée &amp; à venir",IF(($N74&lt;&gt;"")*($N74&gt;TODAY()-9)*($N74&lt;TODAY()+1),"Semaine passée",IF(($P74&lt;&gt;"")*($P74&gt;=TODAY())*($P74&lt;=TODAY()+13),"À venir","Autre"))))</f>
        <v/>
      </c>
      <c r="V74" s="5" cm="1" t="n">
        <f t="array" ref="V74">IF(C74&lt;&gt;"",1,0)</f>
        <v>0</v>
      </c>
      <c r="W74" s="5">
</c>
      <c r="X74" s="5">
</c>
      <c r="Y74" s="5">
</c>
      <c r="Z74" s="5">
</c>
      <c r="AA74" s="5">
</c>
      <c r="AB74" s="5">
</c>
      <c r="AC74" s="5">
</c>
      <c r="AD74" s="5">
</c>
      <c r="AE74" s="5">
</c>
      <c r="AF74" s="5">
</c>
      <c r="AG74" s="5">
</c>
      <c r="AH74" s="5">
</c>
      <c r="AI74" s="5">
</c>
      <c r="AJ74" s="5">
</c>
    </row>
    <row r="75" ht="70.5" customHeight="1">
      <c r="A75" s="6">
</c>
      <c r="B75" s="6">
</c>
      <c r="C75" s="9">
</c>
      <c r="D75" s="9">
</c>
      <c r="E75" s="6">
</c>
      <c r="F75" s="5">
</c>
      <c r="G75" s="10" cm="1" t="str">
        <f t="array" ref="G75">IF(F75="","",SUBSTITUTE(SUBSTITUTE(SUBSTITUTE(SUBSTITUTE(F75,"&lt;li&gt;",CHAR(10)),"&lt;/li&gt;",""),"&lt;br&gt;",CHAR(10)),"&lt;strong&gt;",""))</f>
        <v/>
      </c>
      <c r="H75" s="10" cm="1" t="str">
        <f t="array" ref="H75">IF(G75="","",SUBSTITUTE(SUBSTITUTE(SUBSTITUTE(SUBSTITUTE(SUBSTITUTE(G75,"&lt;p&gt;",""),"&lt;/p&gt;",""),"&lt;ul&gt;",""),"&lt;/ul&gt;",""),"&lt;/strong&gt;",""))</f>
        <v/>
      </c>
      <c r="I75" s="11" cm="1" t="str">
        <f t="array" ref="I75">IF(C75="","",IF(OR(H75="",H75=0,H75=FALSE),"-",H75))</f>
        <v/>
      </c>
      <c r="J75" s="5">
</c>
      <c r="K75" s="6">
</c>
      <c r="L75" s="6" cm="1" t="str">
        <f t="array" ref="L75">IF(C75="","",IF(K75="Mort / Plus rien à faire","KO","OK"))</f>
        <v/>
      </c>
      <c r="M75" s="12">
</c>
      <c r="N75" s="12" cm="1" t="str">
        <f t="array" ref="N75">IF(OR(C75="",M75="",M75=0),"",M75)</f>
        <v/>
      </c>
      <c r="O75" s="12">
</c>
      <c r="P75" s="12" cm="1" t="str">
        <f t="array" ref="P75">IF(C75="","",IF(OR(O75="",O75=0),"-",O75))</f>
        <v/>
      </c>
      <c r="Q75" s="13">
</c>
      <c r="R75" s="9" cm="1" t="str">
        <f t="array" ref="R75">IF(C75="","",ROUND(Q75/1000000,3)&amp;" M€")</f>
        <v/>
      </c>
      <c r="S75" s="9">
</c>
      <c r="T75" s="9" cm="1" t="str">
        <f t="array" ref="T75">IF(C75="","",SUBSTITUTE(S75,"","")&amp;"%")</f>
        <v/>
      </c>
      <c r="U75" s="6" cm="1" t="str">
        <f t="array" ref="U75">IF(($N75="")*($P75=""),"",IF(($N75&lt;&gt;"")*($N75&gt;TODAY()-9)*($N75&lt;TODAY()+1)*($P75&lt;&gt;"")*($P75&gt;=TODAY())*($P75&lt;=TODAY()+13),"Semaine passée &amp; à venir",IF(($N75&lt;&gt;"")*($N75&gt;TODAY()-9)*($N75&lt;TODAY()+1),"Semaine passée",IF(($P75&lt;&gt;"")*($P75&gt;=TODAY())*($P75&lt;=TODAY()+13),"À venir","Autre"))))</f>
        <v/>
      </c>
      <c r="V75" s="5" cm="1" t="n">
        <f t="array" ref="V75">IF(C75&lt;&gt;"",1,0)</f>
        <v>0</v>
      </c>
      <c r="W75" s="5">
</c>
      <c r="X75" s="5">
</c>
      <c r="Y75" s="5">
</c>
      <c r="Z75" s="5">
</c>
      <c r="AA75" s="5">
</c>
      <c r="AB75" s="5">
</c>
      <c r="AC75" s="5">
</c>
      <c r="AD75" s="5">
</c>
      <c r="AE75" s="5">
</c>
      <c r="AF75" s="5">
</c>
      <c r="AG75" s="5">
</c>
      <c r="AH75" s="5">
</c>
      <c r="AI75" s="5">
</c>
      <c r="AJ75" s="5">
</c>
    </row>
    <row r="76" ht="70.5" customHeight="1">
      <c r="A76" s="6">
</c>
      <c r="B76" s="6">
</c>
      <c r="C76" s="9">
</c>
      <c r="D76" s="9">
</c>
      <c r="E76" s="6">
</c>
      <c r="F76" s="5">
</c>
      <c r="G76" s="10" cm="1" t="str">
        <f t="array" ref="G76">IF(F76="","",SUBSTITUTE(SUBSTITUTE(SUBSTITUTE(SUBSTITUTE(F76,"&lt;li&gt;",CHAR(10)),"&lt;/li&gt;",""),"&lt;br&gt;",CHAR(10)),"&lt;strong&gt;",""))</f>
        <v/>
      </c>
      <c r="H76" s="10" cm="1" t="str">
        <f t="array" ref="H76">IF(G76="","",SUBSTITUTE(SUBSTITUTE(SUBSTITUTE(SUBSTITUTE(SUBSTITUTE(G76,"&lt;p&gt;",""),"&lt;/p&gt;",""),"&lt;ul&gt;",""),"&lt;/ul&gt;",""),"&lt;/strong&gt;",""))</f>
        <v/>
      </c>
      <c r="I76" s="11" cm="1" t="str">
        <f t="array" ref="I76">IF(C76="","",IF(OR(H76="",H76=0,H76=FALSE),"-",H76))</f>
        <v/>
      </c>
      <c r="J76" s="5">
</c>
      <c r="K76" s="6">
</c>
      <c r="L76" s="6" cm="1" t="str">
        <f t="array" ref="L76">IF(C76="","",IF(K76="Mort / Plus rien à faire","KO","OK"))</f>
        <v/>
      </c>
      <c r="M76" s="12">
</c>
      <c r="N76" s="12" cm="1" t="str">
        <f t="array" ref="N76">IF(OR(C76="",M76="",M76=0),"",M76)</f>
        <v/>
      </c>
      <c r="O76" s="12">
</c>
      <c r="P76" s="12" cm="1" t="str">
        <f t="array" ref="P76">IF(C76="","",IF(OR(O76="",O76=0),"-",O76))</f>
        <v/>
      </c>
      <c r="Q76" s="13">
</c>
      <c r="R76" s="9" cm="1" t="str">
        <f t="array" ref="R76">IF(C76="","",ROUND(Q76/1000000,3)&amp;" M€")</f>
        <v/>
      </c>
      <c r="S76" s="9">
</c>
      <c r="T76" s="9" cm="1" t="str">
        <f t="array" ref="T76">IF(C76="","",SUBSTITUTE(S76,"","")&amp;"%")</f>
        <v/>
      </c>
      <c r="U76" s="6" cm="1" t="str">
        <f t="array" ref="U76">IF(($N76="")*($P76=""),"",IF(($N76&lt;&gt;"")*($N76&gt;TODAY()-9)*($N76&lt;TODAY()+1)*($P76&lt;&gt;"")*($P76&gt;=TODAY())*($P76&lt;=TODAY()+13),"Semaine passée &amp; à venir",IF(($N76&lt;&gt;"")*($N76&gt;TODAY()-9)*($N76&lt;TODAY()+1),"Semaine passée",IF(($P76&lt;&gt;"")*($P76&gt;=TODAY())*($P76&lt;=TODAY()+13),"À venir","Autre"))))</f>
        <v/>
      </c>
      <c r="V76" s="5" cm="1" t="n">
        <f t="array" ref="V76">IF(C76&lt;&gt;"",1,0)</f>
        <v>0</v>
      </c>
      <c r="W76" s="5">
</c>
      <c r="X76" s="5">
</c>
      <c r="Y76" s="5">
</c>
      <c r="Z76" s="5">
</c>
      <c r="AA76" s="5">
</c>
      <c r="AB76" s="5">
</c>
      <c r="AC76" s="5">
</c>
      <c r="AD76" s="5">
</c>
      <c r="AE76" s="5">
</c>
      <c r="AF76" s="5">
</c>
      <c r="AG76" s="5">
</c>
      <c r="AH76" s="5">
</c>
      <c r="AI76" s="5">
</c>
      <c r="AJ76" s="5">
</c>
    </row>
    <row r="77" ht="70.5" customHeight="1">
      <c r="A77" s="6">
</c>
      <c r="B77" s="6">
</c>
      <c r="C77" s="9">
</c>
      <c r="D77" s="9">
</c>
      <c r="E77" s="6">
</c>
      <c r="F77" s="5">
</c>
      <c r="G77" s="10" cm="1" t="str">
        <f t="array" ref="G77">IF(F77="","",SUBSTITUTE(SUBSTITUTE(SUBSTITUTE(SUBSTITUTE(F77,"&lt;li&gt;",CHAR(10)),"&lt;/li&gt;",""),"&lt;br&gt;",CHAR(10)),"&lt;strong&gt;",""))</f>
        <v/>
      </c>
      <c r="H77" s="10" cm="1" t="str">
        <f t="array" ref="H77">IF(G77="","",SUBSTITUTE(SUBSTITUTE(SUBSTITUTE(SUBSTITUTE(SUBSTITUTE(G77,"&lt;p&gt;",""),"&lt;/p&gt;",""),"&lt;ul&gt;",""),"&lt;/ul&gt;",""),"&lt;/strong&gt;",""))</f>
        <v/>
      </c>
      <c r="I77" s="11" cm="1" t="str">
        <f t="array" ref="I77">IF(C77="","",IF(OR(H77="",H77=0,H77=FALSE),"-",H77))</f>
        <v/>
      </c>
      <c r="J77" s="5">
</c>
      <c r="K77" s="6">
</c>
      <c r="L77" s="6" cm="1" t="str">
        <f t="array" ref="L77">IF(C77="","",IF(K77="Mort / Plus rien à faire","KO","OK"))</f>
        <v/>
      </c>
      <c r="M77" s="12">
</c>
      <c r="N77" s="12" cm="1" t="str">
        <f t="array" ref="N77">IF(OR(C77="",M77="",M77=0),"",M77)</f>
        <v/>
      </c>
      <c r="O77" s="12">
</c>
      <c r="P77" s="12" cm="1" t="str">
        <f t="array" ref="P77">IF(C77="","",IF(OR(O77="",O77=0),"-",O77))</f>
        <v/>
      </c>
      <c r="Q77" s="13">
</c>
      <c r="R77" s="9" cm="1" t="str">
        <f t="array" ref="R77">IF(C77="","",ROUND(Q77/1000000,3)&amp;" M€")</f>
        <v/>
      </c>
      <c r="S77" s="9">
</c>
      <c r="T77" s="9" cm="1" t="str">
        <f t="array" ref="T77">IF(C77="","",SUBSTITUTE(S77,"","")&amp;"%")</f>
        <v/>
      </c>
      <c r="U77" s="6" cm="1" t="str">
        <f t="array" ref="U77">IF(($N77="")*($P77=""),"",IF(($N77&lt;&gt;"")*($N77&gt;TODAY()-9)*($N77&lt;TODAY()+1)*($P77&lt;&gt;"")*($P77&gt;=TODAY())*($P77&lt;=TODAY()+13),"Semaine passée &amp; à venir",IF(($N77&lt;&gt;"")*($N77&gt;TODAY()-9)*($N77&lt;TODAY()+1),"Semaine passée",IF(($P77&lt;&gt;"")*($P77&gt;=TODAY())*($P77&lt;=TODAY()+13),"À venir","Autre"))))</f>
        <v/>
      </c>
      <c r="V77" s="5" cm="1" t="n">
        <f t="array" ref="V77">IF(C77&lt;&gt;"",1,0)</f>
        <v>0</v>
      </c>
      <c r="W77" s="5">
</c>
      <c r="X77" s="5">
</c>
      <c r="Y77" s="5">
</c>
      <c r="Z77" s="5">
</c>
      <c r="AA77" s="5">
</c>
      <c r="AB77" s="5">
</c>
      <c r="AC77" s="5">
</c>
      <c r="AD77" s="5">
</c>
      <c r="AE77" s="5">
</c>
      <c r="AF77" s="5">
</c>
      <c r="AG77" s="5">
</c>
      <c r="AH77" s="5">
</c>
      <c r="AI77" s="5">
</c>
      <c r="AJ77" s="5">
</c>
    </row>
    <row r="78" ht="70.5" customHeight="1">
      <c r="A78" s="6">
</c>
      <c r="B78" s="6">
</c>
      <c r="C78" s="9">
</c>
      <c r="D78" s="9">
</c>
      <c r="E78" s="6">
</c>
      <c r="F78" s="5">
</c>
      <c r="G78" s="10" cm="1" t="str">
        <f t="array" ref="G78">IF(F78="","",SUBSTITUTE(SUBSTITUTE(SUBSTITUTE(SUBSTITUTE(F78,"&lt;li&gt;",CHAR(10)),"&lt;/li&gt;",""),"&lt;br&gt;",CHAR(10)),"&lt;strong&gt;",""))</f>
        <v/>
      </c>
      <c r="H78" s="10" cm="1" t="str">
        <f t="array" ref="H78">IF(G78="","",SUBSTITUTE(SUBSTITUTE(SUBSTITUTE(SUBSTITUTE(SUBSTITUTE(G78,"&lt;p&gt;",""),"&lt;/p&gt;",""),"&lt;ul&gt;",""),"&lt;/ul&gt;",""),"&lt;/strong&gt;",""))</f>
        <v/>
      </c>
      <c r="I78" s="11" cm="1" t="str">
        <f t="array" ref="I78">IF(C78="","",IF(OR(H78="",H78=0,H78=FALSE),"-",H78))</f>
        <v/>
      </c>
      <c r="J78" s="5">
</c>
      <c r="K78" s="6">
</c>
      <c r="L78" s="6" cm="1" t="str">
        <f t="array" ref="L78">IF(C78="","",IF(K78="Mort / Plus rien à faire","KO","OK"))</f>
        <v/>
      </c>
      <c r="M78" s="12">
</c>
      <c r="N78" s="12" cm="1" t="str">
        <f t="array" ref="N78">IF(OR(C78="",M78="",M78=0),"",M78)</f>
        <v/>
      </c>
      <c r="O78" s="12">
</c>
      <c r="P78" s="12" cm="1" t="str">
        <f t="array" ref="P78">IF(C78="","",IF(OR(O78="",O78=0),"-",O78))</f>
        <v/>
      </c>
      <c r="Q78" s="13">
</c>
      <c r="R78" s="9" cm="1" t="str">
        <f t="array" ref="R78">IF(C78="","",ROUND(Q78/1000000,3)&amp;" M€")</f>
        <v/>
      </c>
      <c r="S78" s="9">
</c>
      <c r="T78" s="9" cm="1" t="str">
        <f t="array" ref="T78">IF(C78="","",SUBSTITUTE(S78,"","")&amp;"%")</f>
        <v/>
      </c>
      <c r="U78" s="6" cm="1" t="str">
        <f t="array" ref="U78">IF(($N78="")*($P78=""),"",IF(($N78&lt;&gt;"")*($N78&gt;TODAY()-9)*($N78&lt;TODAY()+1)*($P78&lt;&gt;"")*($P78&gt;=TODAY())*($P78&lt;=TODAY()+13),"Semaine passée &amp; à venir",IF(($N78&lt;&gt;"")*($N78&gt;TODAY()-9)*($N78&lt;TODAY()+1),"Semaine passée",IF(($P78&lt;&gt;"")*($P78&gt;=TODAY())*($P78&lt;=TODAY()+13),"À venir","Autre"))))</f>
        <v/>
      </c>
      <c r="V78" s="5" cm="1" t="n">
        <f t="array" ref="V78">IF(C78&lt;&gt;"",1,0)</f>
        <v>0</v>
      </c>
      <c r="W78" s="5">
</c>
      <c r="X78" s="5">
</c>
      <c r="Y78" s="5">
</c>
      <c r="Z78" s="5">
</c>
      <c r="AA78" s="5">
</c>
      <c r="AB78" s="5">
</c>
      <c r="AC78" s="5">
</c>
      <c r="AD78" s="5">
</c>
      <c r="AE78" s="5">
</c>
      <c r="AF78" s="5">
</c>
      <c r="AG78" s="5">
</c>
      <c r="AH78" s="5">
</c>
      <c r="AI78" s="5">
</c>
      <c r="AJ78" s="5">
</c>
    </row>
    <row r="79" ht="70.5" customHeight="1">
      <c r="A79" s="6">
</c>
      <c r="B79" s="6">
</c>
      <c r="C79" s="9">
</c>
      <c r="D79" s="9">
</c>
      <c r="E79" s="6">
</c>
      <c r="F79" s="5">
</c>
      <c r="G79" s="10" cm="1" t="str">
        <f t="array" ref="G79">IF(F79="","",SUBSTITUTE(SUBSTITUTE(SUBSTITUTE(SUBSTITUTE(F79,"&lt;li&gt;",CHAR(10)),"&lt;/li&gt;",""),"&lt;br&gt;",CHAR(10)),"&lt;strong&gt;",""))</f>
        <v/>
      </c>
      <c r="H79" s="10" cm="1" t="str">
        <f t="array" ref="H79">IF(G79="","",SUBSTITUTE(SUBSTITUTE(SUBSTITUTE(SUBSTITUTE(SUBSTITUTE(G79,"&lt;p&gt;",""),"&lt;/p&gt;",""),"&lt;ul&gt;",""),"&lt;/ul&gt;",""),"&lt;/strong&gt;",""))</f>
        <v/>
      </c>
      <c r="I79" s="11" cm="1" t="str">
        <f t="array" ref="I79">IF(C79="","",IF(OR(H79="",H79=0,H79=FALSE),"-",H79))</f>
        <v/>
      </c>
      <c r="J79" s="5">
</c>
      <c r="K79" s="6">
</c>
      <c r="L79" s="6" cm="1" t="str">
        <f t="array" ref="L79">IF(C79="","",IF(K79="Mort / Plus rien à faire","KO","OK"))</f>
        <v/>
      </c>
      <c r="M79" s="12">
</c>
      <c r="N79" s="12" cm="1" t="str">
        <f t="array" ref="N79">IF(OR(C79="",M79="",M79=0),"",M79)</f>
        <v/>
      </c>
      <c r="O79" s="12">
</c>
      <c r="P79" s="12" cm="1" t="str">
        <f t="array" ref="P79">IF(C79="","",IF(OR(O79="",O79=0),"-",O79))</f>
        <v/>
      </c>
      <c r="Q79" s="13">
</c>
      <c r="R79" s="9" cm="1" t="str">
        <f t="array" ref="R79">IF(C79="","",ROUND(Q79/1000000,3)&amp;" M€")</f>
        <v/>
      </c>
      <c r="S79" s="9">
</c>
      <c r="T79" s="9" cm="1" t="str">
        <f t="array" ref="T79">IF(C79="","",SUBSTITUTE(S79,"","")&amp;"%")</f>
        <v/>
      </c>
      <c r="U79" s="6" cm="1" t="str">
        <f t="array" ref="U79">IF(($N79="")*($P79=""),"",IF(($N79&lt;&gt;"")*($N79&gt;TODAY()-9)*($N79&lt;TODAY()+1)*($P79&lt;&gt;"")*($P79&gt;=TODAY())*($P79&lt;=TODAY()+13),"Semaine passée &amp; à venir",IF(($N79&lt;&gt;"")*($N79&gt;TODAY()-9)*($N79&lt;TODAY()+1),"Semaine passée",IF(($P79&lt;&gt;"")*($P79&gt;=TODAY())*($P79&lt;=TODAY()+13),"À venir","Autre"))))</f>
        <v/>
      </c>
      <c r="V79" s="5" cm="1" t="n">
        <f t="array" ref="V79">IF(C79&lt;&gt;"",1,0)</f>
        <v>0</v>
      </c>
      <c r="W79" s="5">
</c>
      <c r="X79" s="5">
</c>
      <c r="Y79" s="5">
</c>
      <c r="Z79" s="5">
</c>
      <c r="AA79" s="5">
</c>
      <c r="AB79" s="5">
</c>
      <c r="AC79" s="5">
</c>
      <c r="AD79" s="5">
</c>
      <c r="AE79" s="5">
</c>
      <c r="AF79" s="5">
</c>
      <c r="AG79" s="5">
</c>
      <c r="AH79" s="5">
</c>
      <c r="AI79" s="5">
</c>
      <c r="AJ79" s="5">
</c>
    </row>
    <row r="80" ht="70.5" customHeight="1">
      <c r="A80" s="6">
</c>
      <c r="B80" s="6">
</c>
      <c r="C80" s="9">
</c>
      <c r="D80" s="9">
</c>
      <c r="E80" s="6">
</c>
      <c r="F80" s="5">
</c>
      <c r="G80" s="10" cm="1" t="str">
        <f t="array" ref="G80">IF(F80="","",SUBSTITUTE(SUBSTITUTE(SUBSTITUTE(SUBSTITUTE(F80,"&lt;li&gt;",CHAR(10)),"&lt;/li&gt;",""),"&lt;br&gt;",CHAR(10)),"&lt;strong&gt;",""))</f>
        <v/>
      </c>
      <c r="H80" s="10" cm="1" t="str">
        <f t="array" ref="H80">IF(G80="","",SUBSTITUTE(SUBSTITUTE(SUBSTITUTE(SUBSTITUTE(SUBSTITUTE(G80,"&lt;p&gt;",""),"&lt;/p&gt;",""),"&lt;ul&gt;",""),"&lt;/ul&gt;",""),"&lt;/strong&gt;",""))</f>
        <v/>
      </c>
      <c r="I80" s="11" cm="1" t="str">
        <f t="array" ref="I80">IF(C80="","",IF(OR(H80="",H80=0,H80=FALSE),"-",H80))</f>
        <v/>
      </c>
      <c r="J80" s="5">
</c>
      <c r="K80" s="6">
</c>
      <c r="L80" s="6" cm="1" t="str">
        <f t="array" ref="L80">IF(C80="","",IF(K80="Mort / Plus rien à faire","KO","OK"))</f>
        <v/>
      </c>
      <c r="M80" s="12">
</c>
      <c r="N80" s="12" cm="1" t="str">
        <f t="array" ref="N80">IF(OR(C80="",M80="",M80=0),"",M80)</f>
        <v/>
      </c>
      <c r="O80" s="12">
</c>
      <c r="P80" s="12" cm="1" t="str">
        <f t="array" ref="P80">IF(C80="","",IF(OR(O80="",O80=0),"-",O80))</f>
        <v/>
      </c>
      <c r="Q80" s="13">
</c>
      <c r="R80" s="9" cm="1" t="str">
        <f t="array" ref="R80">IF(C80="","",ROUND(Q80/1000000,3)&amp;" M€")</f>
        <v/>
      </c>
      <c r="S80" s="9">
</c>
      <c r="T80" s="9" cm="1" t="str">
        <f t="array" ref="T80">IF(C80="","",SUBSTITUTE(S80,"","")&amp;"%")</f>
        <v/>
      </c>
      <c r="U80" s="6" cm="1" t="str">
        <f t="array" ref="U80">IF(($N80="")*($P80=""),"",IF(($N80&lt;&gt;"")*($N80&gt;TODAY()-9)*($N80&lt;TODAY()+1)*($P80&lt;&gt;"")*($P80&gt;=TODAY())*($P80&lt;=TODAY()+13),"Semaine passée &amp; à venir",IF(($N80&lt;&gt;"")*($N80&gt;TODAY()-9)*($N80&lt;TODAY()+1),"Semaine passée",IF(($P80&lt;&gt;"")*($P80&gt;=TODAY())*($P80&lt;=TODAY()+13),"À venir","Autre"))))</f>
        <v/>
      </c>
      <c r="V80" s="5" cm="1" t="n">
        <f t="array" ref="V80">IF(C80&lt;&gt;"",1,0)</f>
        <v>0</v>
      </c>
      <c r="W80" s="5">
</c>
      <c r="X80" s="5">
</c>
      <c r="Y80" s="5">
</c>
      <c r="Z80" s="5">
</c>
      <c r="AA80" s="5">
</c>
      <c r="AB80" s="5">
</c>
      <c r="AC80" s="5">
</c>
      <c r="AD80" s="5">
</c>
      <c r="AE80" s="5">
</c>
      <c r="AF80" s="5">
</c>
      <c r="AG80" s="5">
</c>
      <c r="AH80" s="5">
</c>
      <c r="AI80" s="5">
</c>
      <c r="AJ80" s="5">
</c>
    </row>
    <row r="81" ht="70.5" customHeight="1">
      <c r="A81" s="6">
</c>
      <c r="B81" s="6">
</c>
      <c r="C81" s="9">
</c>
      <c r="D81" s="9">
</c>
      <c r="E81" s="6">
</c>
      <c r="F81" s="5">
</c>
      <c r="G81" s="10" cm="1" t="str">
        <f t="array" ref="G81">IF(F81="","",SUBSTITUTE(SUBSTITUTE(SUBSTITUTE(SUBSTITUTE(F81,"&lt;li&gt;",CHAR(10)),"&lt;/li&gt;",""),"&lt;br&gt;",CHAR(10)),"&lt;strong&gt;",""))</f>
        <v/>
      </c>
      <c r="H81" s="10" cm="1" t="str">
        <f t="array" ref="H81">IF(G81="","",SUBSTITUTE(SUBSTITUTE(SUBSTITUTE(SUBSTITUTE(SUBSTITUTE(G81,"&lt;p&gt;",""),"&lt;/p&gt;",""),"&lt;ul&gt;",""),"&lt;/ul&gt;",""),"&lt;/strong&gt;",""))</f>
        <v/>
      </c>
      <c r="I81" s="11" cm="1" t="str">
        <f t="array" ref="I81">IF(C81="","",IF(OR(H81="",H81=0,H81=FALSE),"-",H81))</f>
        <v/>
      </c>
      <c r="J81" s="5">
</c>
      <c r="K81" s="6">
</c>
      <c r="L81" s="6" cm="1" t="str">
        <f t="array" ref="L81">IF(C81="","",IF(K81="Mort / Plus rien à faire","KO","OK"))</f>
        <v/>
      </c>
      <c r="M81" s="12">
</c>
      <c r="N81" s="12" cm="1" t="str">
        <f t="array" ref="N81">IF(OR(C81="",M81="",M81=0),"",M81)</f>
        <v/>
      </c>
      <c r="O81" s="12">
</c>
      <c r="P81" s="12" cm="1" t="str">
        <f t="array" ref="P81">IF(C81="","",IF(OR(O81="",O81=0),"-",O81))</f>
        <v/>
      </c>
      <c r="Q81" s="13">
</c>
      <c r="R81" s="9" cm="1" t="str">
        <f t="array" ref="R81">IF(C81="","",ROUND(Q81/1000000,3)&amp;" M€")</f>
        <v/>
      </c>
      <c r="S81" s="9">
</c>
      <c r="T81" s="9" cm="1" t="str">
        <f t="array" ref="T81">IF(C81="","",SUBSTITUTE(S81,"","")&amp;"%")</f>
        <v/>
      </c>
      <c r="U81" s="6" cm="1" t="str">
        <f t="array" ref="U81">IF(($N81="")*($P81=""),"",IF(($N81&lt;&gt;"")*($N81&gt;TODAY()-9)*($N81&lt;TODAY()+1)*($P81&lt;&gt;"")*($P81&gt;=TODAY())*($P81&lt;=TODAY()+13),"Semaine passée &amp; à venir",IF(($N81&lt;&gt;"")*($N81&gt;TODAY()-9)*($N81&lt;TODAY()+1),"Semaine passée",IF(($P81&lt;&gt;"")*($P81&gt;=TODAY())*($P81&lt;=TODAY()+13),"À venir","Autre"))))</f>
        <v/>
      </c>
      <c r="V81" s="5" cm="1" t="n">
        <f t="array" ref="V81">IF(C81&lt;&gt;"",1,0)</f>
        <v>0</v>
      </c>
      <c r="W81" s="5">
</c>
      <c r="X81" s="5">
</c>
      <c r="Y81" s="5">
</c>
      <c r="Z81" s="5">
</c>
      <c r="AA81" s="5">
</c>
      <c r="AB81" s="5">
</c>
      <c r="AC81" s="5">
</c>
      <c r="AD81" s="5">
</c>
      <c r="AE81" s="5">
</c>
      <c r="AF81" s="5">
</c>
      <c r="AG81" s="5">
</c>
      <c r="AH81" s="5">
</c>
      <c r="AI81" s="5">
</c>
      <c r="AJ81" s="5">
</c>
    </row>
    <row r="82" ht="70.5" customHeight="1">
      <c r="A82" s="6">
</c>
      <c r="B82" s="6">
</c>
      <c r="C82" s="9">
</c>
      <c r="D82" s="9">
</c>
      <c r="E82" s="6">
</c>
      <c r="F82" s="5">
</c>
      <c r="G82" s="10" cm="1" t="str">
        <f t="array" ref="G82">IF(F82="","",SUBSTITUTE(SUBSTITUTE(SUBSTITUTE(SUBSTITUTE(F82,"&lt;li&gt;",CHAR(10)),"&lt;/li&gt;",""),"&lt;br&gt;",CHAR(10)),"&lt;strong&gt;",""))</f>
        <v/>
      </c>
      <c r="H82" s="10" cm="1" t="str">
        <f t="array" ref="H82">IF(G82="","",SUBSTITUTE(SUBSTITUTE(SUBSTITUTE(SUBSTITUTE(SUBSTITUTE(G82,"&lt;p&gt;",""),"&lt;/p&gt;",""),"&lt;ul&gt;",""),"&lt;/ul&gt;",""),"&lt;/strong&gt;",""))</f>
        <v/>
      </c>
      <c r="I82" s="11" cm="1" t="str">
        <f t="array" ref="I82">IF(C82="","",IF(OR(H82="",H82=0,H82=FALSE),"-",H82))</f>
        <v/>
      </c>
      <c r="J82" s="5">
</c>
      <c r="K82" s="6">
</c>
      <c r="L82" s="6" cm="1" t="str">
        <f t="array" ref="L82">IF(C82="","",IF(K82="Mort / Plus rien à faire","KO","OK"))</f>
        <v/>
      </c>
      <c r="M82" s="12">
</c>
      <c r="N82" s="12" cm="1" t="str">
        <f t="array" ref="N82">IF(OR(C82="",M82="",M82=0),"",M82)</f>
        <v/>
      </c>
      <c r="O82" s="12">
</c>
      <c r="P82" s="12" cm="1" t="str">
        <f t="array" ref="P82">IF(C82="","",IF(OR(O82="",O82=0),"-",O82))</f>
        <v/>
      </c>
      <c r="Q82" s="13">
</c>
      <c r="R82" s="9" cm="1" t="str">
        <f t="array" ref="R82">IF(C82="","",ROUND(Q82/1000000,3)&amp;" M€")</f>
        <v/>
      </c>
      <c r="S82" s="9">
</c>
      <c r="T82" s="9" cm="1" t="str">
        <f t="array" ref="T82">IF(C82="","",SUBSTITUTE(S82,"","")&amp;"%")</f>
        <v/>
      </c>
      <c r="U82" s="6" cm="1" t="str">
        <f t="array" ref="U82">IF(($N82="")*($P82=""),"",IF(($N82&lt;&gt;"")*($N82&gt;TODAY()-9)*($N82&lt;TODAY()+1)*($P82&lt;&gt;"")*($P82&gt;=TODAY())*($P82&lt;=TODAY()+13),"Semaine passée &amp; à venir",IF(($N82&lt;&gt;"")*($N82&gt;TODAY()-9)*($N82&lt;TODAY()+1),"Semaine passée",IF(($P82&lt;&gt;"")*($P82&gt;=TODAY())*($P82&lt;=TODAY()+13),"À venir","Autre"))))</f>
        <v/>
      </c>
      <c r="V82" s="5" cm="1" t="n">
        <f t="array" ref="V82">IF(C82&lt;&gt;"",1,0)</f>
        <v>0</v>
      </c>
      <c r="W82" s="5">
</c>
      <c r="X82" s="5">
</c>
      <c r="Y82" s="5">
</c>
      <c r="Z82" s="5">
</c>
      <c r="AA82" s="5">
</c>
      <c r="AB82" s="5">
</c>
      <c r="AC82" s="5">
</c>
      <c r="AD82" s="5">
</c>
      <c r="AE82" s="5">
</c>
      <c r="AF82" s="5">
</c>
      <c r="AG82" s="5">
</c>
      <c r="AH82" s="5">
</c>
      <c r="AI82" s="5">
</c>
      <c r="AJ82" s="5">
</c>
    </row>
    <row r="83" ht="70.5" customHeight="1">
      <c r="A83" s="6">
</c>
      <c r="B83" s="6">
</c>
      <c r="C83" s="9">
</c>
      <c r="D83" s="9">
</c>
      <c r="E83" s="6">
</c>
      <c r="F83" s="5">
</c>
      <c r="G83" s="10" cm="1" t="str">
        <f t="array" ref="G83">IF(F83="","",SUBSTITUTE(SUBSTITUTE(SUBSTITUTE(SUBSTITUTE(F83,"&lt;li&gt;",CHAR(10)),"&lt;/li&gt;",""),"&lt;br&gt;",CHAR(10)),"&lt;strong&gt;",""))</f>
        <v/>
      </c>
      <c r="H83" s="10" cm="1" t="str">
        <f t="array" ref="H83">IF(G83="","",SUBSTITUTE(SUBSTITUTE(SUBSTITUTE(SUBSTITUTE(SUBSTITUTE(G83,"&lt;p&gt;",""),"&lt;/p&gt;",""),"&lt;ul&gt;",""),"&lt;/ul&gt;",""),"&lt;/strong&gt;",""))</f>
        <v/>
      </c>
      <c r="I83" s="11" cm="1" t="str">
        <f t="array" ref="I83">IF(C83="","",IF(OR(H83="",H83=0,H83=FALSE),"-",H83))</f>
        <v/>
      </c>
      <c r="J83" s="5">
</c>
      <c r="K83" s="6">
</c>
      <c r="L83" s="6" cm="1" t="str">
        <f t="array" ref="L83">IF(C83="","",IF(K83="Mort / Plus rien à faire","KO","OK"))</f>
        <v/>
      </c>
      <c r="M83" s="12">
</c>
      <c r="N83" s="12" cm="1" t="str">
        <f t="array" ref="N83">IF(OR(C83="",M83="",M83=0),"",M83)</f>
        <v/>
      </c>
      <c r="O83" s="12">
</c>
      <c r="P83" s="12" cm="1" t="str">
        <f t="array" ref="P83">IF(C83="","",IF(OR(O83="",O83=0),"-",O83))</f>
        <v/>
      </c>
      <c r="Q83" s="13">
</c>
      <c r="R83" s="9" cm="1" t="str">
        <f t="array" ref="R83">IF(C83="","",ROUND(Q83/1000000,3)&amp;" M€")</f>
        <v/>
      </c>
      <c r="S83" s="9">
</c>
      <c r="T83" s="9" cm="1" t="str">
        <f t="array" ref="T83">IF(C83="","",SUBSTITUTE(S83,"","")&amp;"%")</f>
        <v/>
      </c>
      <c r="U83" s="6" cm="1" t="str">
        <f t="array" ref="U83">IF(($N83="")*($P83=""),"",IF(($N83&lt;&gt;"")*($N83&gt;TODAY()-9)*($N83&lt;TODAY()+1)*($P83&lt;&gt;"")*($P83&gt;=TODAY())*($P83&lt;=TODAY()+13),"Semaine passée &amp; à venir",IF(($N83&lt;&gt;"")*($N83&gt;TODAY()-9)*($N83&lt;TODAY()+1),"Semaine passée",IF(($P83&lt;&gt;"")*($P83&gt;=TODAY())*($P83&lt;=TODAY()+13),"À venir","Autre"))))</f>
        <v/>
      </c>
      <c r="V83" s="5" cm="1" t="n">
        <f t="array" ref="V83">IF(C83&lt;&gt;"",1,0)</f>
        <v>0</v>
      </c>
      <c r="W83" s="5">
</c>
      <c r="X83" s="5">
</c>
      <c r="Y83" s="5">
</c>
      <c r="Z83" s="5">
</c>
      <c r="AA83" s="5">
</c>
      <c r="AB83" s="5">
</c>
      <c r="AC83" s="5">
</c>
      <c r="AD83" s="5">
</c>
      <c r="AE83" s="5">
</c>
      <c r="AF83" s="5">
</c>
      <c r="AG83" s="5">
</c>
      <c r="AH83" s="5">
</c>
      <c r="AI83" s="5">
</c>
      <c r="AJ83" s="5">
</c>
    </row>
    <row r="84" ht="70.5" customHeight="1">
      <c r="A84" s="6">
</c>
      <c r="B84" s="6">
</c>
      <c r="C84" s="9">
</c>
      <c r="D84" s="9">
</c>
      <c r="E84" s="6">
</c>
      <c r="F84" s="5">
</c>
      <c r="G84" s="10" cm="1" t="str">
        <f t="array" ref="G84">IF(F84="","",SUBSTITUTE(SUBSTITUTE(SUBSTITUTE(SUBSTITUTE(F84,"&lt;li&gt;",CHAR(10)),"&lt;/li&gt;",""),"&lt;br&gt;",CHAR(10)),"&lt;strong&gt;",""))</f>
        <v/>
      </c>
      <c r="H84" s="10" cm="1" t="str">
        <f t="array" ref="H84">IF(G84="","",SUBSTITUTE(SUBSTITUTE(SUBSTITUTE(SUBSTITUTE(SUBSTITUTE(G84,"&lt;p&gt;",""),"&lt;/p&gt;",""),"&lt;ul&gt;",""),"&lt;/ul&gt;",""),"&lt;/strong&gt;",""))</f>
        <v/>
      </c>
      <c r="I84" s="11" cm="1" t="str">
        <f t="array" ref="I84">IF(C84="","",IF(OR(H84="",H84=0,H84=FALSE),"-",H84))</f>
        <v/>
      </c>
      <c r="J84" s="5">
</c>
      <c r="K84" s="6">
</c>
      <c r="L84" s="6" cm="1" t="str">
        <f t="array" ref="L84">IF(C84="","",IF(K84="Mort / Plus rien à faire","KO","OK"))</f>
        <v/>
      </c>
      <c r="M84" s="12">
</c>
      <c r="N84" s="12" cm="1" t="str">
        <f t="array" ref="N84">IF(OR(C84="",M84="",M84=0),"",M84)</f>
        <v/>
      </c>
      <c r="O84" s="12">
</c>
      <c r="P84" s="12" cm="1" t="str">
        <f t="array" ref="P84">IF(C84="","",IF(OR(O84="",O84=0),"-",O84))</f>
        <v/>
      </c>
      <c r="Q84" s="13">
</c>
      <c r="R84" s="9" cm="1" t="str">
        <f t="array" ref="R84">IF(C84="","",ROUND(Q84/1000000,3)&amp;" M€")</f>
        <v/>
      </c>
      <c r="S84" s="9">
</c>
      <c r="T84" s="9" cm="1" t="str">
        <f t="array" ref="T84">IF(C84="","",SUBSTITUTE(S84,"","")&amp;"%")</f>
        <v/>
      </c>
      <c r="U84" s="6" cm="1" t="str">
        <f t="array" ref="U84">IF(($N84="")*($P84=""),"",IF(($N84&lt;&gt;"")*($N84&gt;TODAY()-9)*($N84&lt;TODAY()+1)*($P84&lt;&gt;"")*($P84&gt;=TODAY())*($P84&lt;=TODAY()+13),"Semaine passée &amp; à venir",IF(($N84&lt;&gt;"")*($N84&gt;TODAY()-9)*($N84&lt;TODAY()+1),"Semaine passée",IF(($P84&lt;&gt;"")*($P84&gt;=TODAY())*($P84&lt;=TODAY()+13),"À venir","Autre"))))</f>
        <v/>
      </c>
      <c r="V84" s="5" cm="1" t="n">
        <f t="array" ref="V84">IF(C84&lt;&gt;"",1,0)</f>
        <v>0</v>
      </c>
      <c r="W84" s="5">
</c>
      <c r="X84" s="5">
</c>
      <c r="Y84" s="5">
</c>
      <c r="Z84" s="5">
</c>
      <c r="AA84" s="5">
</c>
      <c r="AB84" s="5">
</c>
      <c r="AC84" s="5">
</c>
      <c r="AD84" s="5">
</c>
      <c r="AE84" s="5">
</c>
      <c r="AF84" s="5">
</c>
      <c r="AG84" s="5">
</c>
      <c r="AH84" s="5">
</c>
      <c r="AI84" s="5">
</c>
      <c r="AJ84" s="5">
</c>
    </row>
    <row r="85" ht="70.5" customHeight="1">
      <c r="A85" s="6">
</c>
      <c r="B85" s="6">
</c>
      <c r="C85" s="9">
</c>
      <c r="D85" s="9">
</c>
      <c r="E85" s="6">
</c>
      <c r="F85" s="5">
</c>
      <c r="G85" s="10" cm="1" t="str">
        <f t="array" ref="G85">IF(F85="","",SUBSTITUTE(SUBSTITUTE(SUBSTITUTE(SUBSTITUTE(F85,"&lt;li&gt;",CHAR(10)),"&lt;/li&gt;",""),"&lt;br&gt;",CHAR(10)),"&lt;strong&gt;",""))</f>
        <v/>
      </c>
      <c r="H85" s="10" cm="1" t="str">
        <f t="array" ref="H85">IF(G85="","",SUBSTITUTE(SUBSTITUTE(SUBSTITUTE(SUBSTITUTE(SUBSTITUTE(G85,"&lt;p&gt;",""),"&lt;/p&gt;",""),"&lt;ul&gt;",""),"&lt;/ul&gt;",""),"&lt;/strong&gt;",""))</f>
        <v/>
      </c>
      <c r="I85" s="11" cm="1" t="str">
        <f t="array" ref="I85">IF(C85="","",IF(OR(H85="",H85=0,H85=FALSE),"-",H85))</f>
        <v/>
      </c>
      <c r="J85" s="5">
</c>
      <c r="K85" s="6">
</c>
      <c r="L85" s="6" cm="1" t="str">
        <f t="array" ref="L85">IF(C85="","",IF(K85="Mort / Plus rien à faire","KO","OK"))</f>
        <v/>
      </c>
      <c r="M85" s="12">
</c>
      <c r="N85" s="12" cm="1" t="str">
        <f t="array" ref="N85">IF(OR(C85="",M85="",M85=0),"",M85)</f>
        <v/>
      </c>
      <c r="O85" s="12">
</c>
      <c r="P85" s="12" cm="1" t="str">
        <f t="array" ref="P85">IF(C85="","",IF(OR(O85="",O85=0),"-",O85))</f>
        <v/>
      </c>
      <c r="Q85" s="13">
</c>
      <c r="R85" s="9" cm="1" t="str">
        <f t="array" ref="R85">IF(C85="","",ROUND(Q85/1000000,3)&amp;" M€")</f>
        <v/>
      </c>
      <c r="S85" s="9">
</c>
      <c r="T85" s="9" cm="1" t="str">
        <f t="array" ref="T85">IF(C85="","",SUBSTITUTE(S85,"","")&amp;"%")</f>
        <v/>
      </c>
      <c r="U85" s="6" cm="1" t="str">
        <f t="array" ref="U85">IF(($N85="")*($P85=""),"",IF(($N85&lt;&gt;"")*($N85&gt;TODAY()-9)*($N85&lt;TODAY()+1)*($P85&lt;&gt;"")*($P85&gt;=TODAY())*($P85&lt;=TODAY()+13),"Semaine passée &amp; à venir",IF(($N85&lt;&gt;"")*($N85&gt;TODAY()-9)*($N85&lt;TODAY()+1),"Semaine passée",IF(($P85&lt;&gt;"")*($P85&gt;=TODAY())*($P85&lt;=TODAY()+13),"À venir","Autre"))))</f>
        <v/>
      </c>
      <c r="V85" s="5" cm="1" t="n">
        <f t="array" ref="V85">IF(C85&lt;&gt;"",1,0)</f>
        <v>0</v>
      </c>
      <c r="W85" s="5">
</c>
      <c r="X85" s="5">
</c>
      <c r="Y85" s="5">
</c>
      <c r="Z85" s="5">
</c>
      <c r="AA85" s="5">
</c>
      <c r="AB85" s="5">
</c>
      <c r="AC85" s="5">
</c>
      <c r="AD85" s="5">
</c>
      <c r="AE85" s="5">
</c>
      <c r="AF85" s="5">
</c>
      <c r="AG85" s="5">
</c>
      <c r="AH85" s="5">
</c>
      <c r="AI85" s="5">
</c>
      <c r="AJ85" s="5">
</c>
    </row>
    <row r="86" ht="70.5" customHeight="1">
      <c r="A86" s="6">
</c>
      <c r="B86" s="6">
</c>
      <c r="C86" s="9">
</c>
      <c r="D86" s="9">
</c>
      <c r="E86" s="6">
</c>
      <c r="F86" s="5">
</c>
      <c r="G86" s="10" cm="1" t="str">
        <f t="array" ref="G86">IF(F86="","",SUBSTITUTE(SUBSTITUTE(SUBSTITUTE(SUBSTITUTE(F86,"&lt;li&gt;",CHAR(10)),"&lt;/li&gt;",""),"&lt;br&gt;",CHAR(10)),"&lt;strong&gt;",""))</f>
        <v/>
      </c>
      <c r="H86" s="10" cm="1" t="str">
        <f t="array" ref="H86">IF(G86="","",SUBSTITUTE(SUBSTITUTE(SUBSTITUTE(SUBSTITUTE(SUBSTITUTE(G86,"&lt;p&gt;",""),"&lt;/p&gt;",""),"&lt;ul&gt;",""),"&lt;/ul&gt;",""),"&lt;/strong&gt;",""))</f>
        <v/>
      </c>
      <c r="I86" s="11" cm="1" t="str">
        <f t="array" ref="I86">IF(C86="","",IF(OR(H86="",H86=0,H86=FALSE),"-",H86))</f>
        <v/>
      </c>
      <c r="J86" s="5">
</c>
      <c r="K86" s="6">
</c>
      <c r="L86" s="6" cm="1" t="str">
        <f t="array" ref="L86">IF(C86="","",IF(K86="Mort / Plus rien à faire","KO","OK"))</f>
        <v/>
      </c>
      <c r="M86" s="12">
</c>
      <c r="N86" s="12" cm="1" t="str">
        <f t="array" ref="N86">IF(OR(C86="",M86="",M86=0),"",M86)</f>
        <v/>
      </c>
      <c r="O86" s="12">
</c>
      <c r="P86" s="12" cm="1" t="str">
        <f t="array" ref="P86">IF(C86="","",IF(OR(O86="",O86=0),"-",O86))</f>
        <v/>
      </c>
      <c r="Q86" s="13">
</c>
      <c r="R86" s="9" cm="1" t="str">
        <f t="array" ref="R86">IF(C86="","",ROUND(Q86/1000000,3)&amp;" M€")</f>
        <v/>
      </c>
      <c r="S86" s="9">
</c>
      <c r="T86" s="9" cm="1" t="str">
        <f t="array" ref="T86">IF(C86="","",SUBSTITUTE(S86,"","")&amp;"%")</f>
        <v/>
      </c>
      <c r="U86" s="6" cm="1" t="str">
        <f t="array" ref="U86">IF(($N86="")*($P86=""),"",IF(($N86&lt;&gt;"")*($N86&gt;TODAY()-9)*($N86&lt;TODAY()+1)*($P86&lt;&gt;"")*($P86&gt;=TODAY())*($P86&lt;=TODAY()+13),"Semaine passée &amp; à venir",IF(($N86&lt;&gt;"")*($N86&gt;TODAY()-9)*($N86&lt;TODAY()+1),"Semaine passée",IF(($P86&lt;&gt;"")*($P86&gt;=TODAY())*($P86&lt;=TODAY()+13),"À venir","Autre"))))</f>
        <v/>
      </c>
      <c r="V86" s="5" cm="1" t="n">
        <f t="array" ref="V86">IF(C86&lt;&gt;"",1,0)</f>
        <v>0</v>
      </c>
      <c r="W86" s="5">
</c>
      <c r="X86" s="5">
</c>
      <c r="Y86" s="5">
</c>
      <c r="Z86" s="5">
</c>
      <c r="AA86" s="5">
</c>
      <c r="AB86" s="5">
</c>
      <c r="AC86" s="5">
</c>
      <c r="AD86" s="5">
</c>
      <c r="AE86" s="5">
</c>
      <c r="AF86" s="5">
</c>
      <c r="AG86" s="5">
</c>
      <c r="AH86" s="5">
</c>
      <c r="AI86" s="5">
</c>
      <c r="AJ86" s="5">
</c>
    </row>
    <row r="87" ht="70.5" customHeight="1">
      <c r="A87" s="6">
</c>
      <c r="B87" s="6">
</c>
      <c r="C87" s="9">
</c>
      <c r="D87" s="9">
</c>
      <c r="E87" s="6">
</c>
      <c r="F87" s="5">
</c>
      <c r="G87" s="10" cm="1" t="str">
        <f t="array" ref="G87">IF(F87="","",SUBSTITUTE(SUBSTITUTE(SUBSTITUTE(SUBSTITUTE(F87,"&lt;li&gt;",CHAR(10)),"&lt;/li&gt;",""),"&lt;br&gt;",CHAR(10)),"&lt;strong&gt;",""))</f>
        <v/>
      </c>
      <c r="H87" s="10" cm="1" t="str">
        <f t="array" ref="H87">IF(G87="","",SUBSTITUTE(SUBSTITUTE(SUBSTITUTE(SUBSTITUTE(SUBSTITUTE(G87,"&lt;p&gt;",""),"&lt;/p&gt;",""),"&lt;ul&gt;",""),"&lt;/ul&gt;",""),"&lt;/strong&gt;",""))</f>
        <v/>
      </c>
      <c r="I87" s="11" cm="1" t="str">
        <f t="array" ref="I87">IF(C87="","",IF(OR(H87="",H87=0,H87=FALSE),"-",H87))</f>
        <v/>
      </c>
      <c r="J87" s="5">
</c>
      <c r="K87" s="6">
</c>
      <c r="L87" s="6" cm="1" t="str">
        <f t="array" ref="L87">IF(C87="","",IF(K87="Mort / Plus rien à faire","KO","OK"))</f>
        <v/>
      </c>
      <c r="M87" s="12">
</c>
      <c r="N87" s="12" cm="1" t="str">
        <f t="array" ref="N87">IF(OR(C87="",M87="",M87=0),"",M87)</f>
        <v/>
      </c>
      <c r="O87" s="12">
</c>
      <c r="P87" s="12" cm="1" t="str">
        <f t="array" ref="P87">IF(C87="","",IF(OR(O87="",O87=0),"-",O87))</f>
        <v/>
      </c>
      <c r="Q87" s="13">
</c>
      <c r="R87" s="9" cm="1" t="str">
        <f t="array" ref="R87">IF(C87="","",ROUND(Q87/1000000,3)&amp;" M€")</f>
        <v/>
      </c>
      <c r="S87" s="9">
</c>
      <c r="T87" s="9" cm="1" t="str">
        <f t="array" ref="T87">IF(C87="","",SUBSTITUTE(S87,"","")&amp;"%")</f>
        <v/>
      </c>
      <c r="U87" s="6" cm="1" t="str">
        <f t="array" ref="U87">IF(($N87="")*($P87=""),"",IF(($N87&lt;&gt;"")*($N87&gt;TODAY()-9)*($N87&lt;TODAY()+1)*($P87&lt;&gt;"")*($P87&gt;=TODAY())*($P87&lt;=TODAY()+13),"Semaine passée &amp; à venir",IF(($N87&lt;&gt;"")*($N87&gt;TODAY()-9)*($N87&lt;TODAY()+1),"Semaine passée",IF(($P87&lt;&gt;"")*($P87&gt;=TODAY())*($P87&lt;=TODAY()+13),"À venir","Autre"))))</f>
        <v/>
      </c>
      <c r="V87" s="5" cm="1" t="n">
        <f t="array" ref="V87">IF(C87&lt;&gt;"",1,0)</f>
        <v>0</v>
      </c>
      <c r="W87" s="5">
</c>
      <c r="X87" s="5">
</c>
      <c r="Y87" s="5">
</c>
      <c r="Z87" s="5">
</c>
      <c r="AA87" s="5">
</c>
      <c r="AB87" s="5">
</c>
      <c r="AC87" s="5">
</c>
      <c r="AD87" s="5">
</c>
      <c r="AE87" s="5">
</c>
      <c r="AF87" s="5">
</c>
      <c r="AG87" s="5">
</c>
      <c r="AH87" s="5">
</c>
      <c r="AI87" s="5">
</c>
      <c r="AJ87" s="5">
</c>
    </row>
    <row r="88" ht="70.5" customHeight="1">
      <c r="A88" s="6">
</c>
      <c r="B88" s="6">
</c>
      <c r="C88" s="9">
</c>
      <c r="D88" s="9">
</c>
      <c r="E88" s="6">
</c>
      <c r="F88" s="5">
</c>
      <c r="G88" s="10" cm="1" t="str">
        <f t="array" ref="G88">IF(F88="","",SUBSTITUTE(SUBSTITUTE(SUBSTITUTE(SUBSTITUTE(F88,"&lt;li&gt;",CHAR(10)),"&lt;/li&gt;",""),"&lt;br&gt;",CHAR(10)),"&lt;strong&gt;",""))</f>
        <v/>
      </c>
      <c r="H88" s="10" cm="1" t="str">
        <f t="array" ref="H88">IF(G88="","",SUBSTITUTE(SUBSTITUTE(SUBSTITUTE(SUBSTITUTE(SUBSTITUTE(G88,"&lt;p&gt;",""),"&lt;/p&gt;",""),"&lt;ul&gt;",""),"&lt;/ul&gt;",""),"&lt;/strong&gt;",""))</f>
        <v/>
      </c>
      <c r="I88" s="11" cm="1" t="str">
        <f t="array" ref="I88">IF(C88="","",IF(OR(H88="",H88=0,H88=FALSE),"-",H88))</f>
        <v/>
      </c>
      <c r="J88" s="5">
</c>
      <c r="K88" s="6">
</c>
      <c r="L88" s="6" cm="1" t="str">
        <f t="array" ref="L88">IF(C88="","",IF(K88="Mort / Plus rien à faire","KO","OK"))</f>
        <v/>
      </c>
      <c r="M88" s="12">
</c>
      <c r="N88" s="12" cm="1" t="str">
        <f t="array" ref="N88">IF(OR(C88="",M88="",M88=0),"",M88)</f>
        <v/>
      </c>
      <c r="O88" s="12">
</c>
      <c r="P88" s="12" cm="1" t="str">
        <f t="array" ref="P88">IF(C88="","",IF(OR(O88="",O88=0),"-",O88))</f>
        <v/>
      </c>
      <c r="Q88" s="13">
</c>
      <c r="R88" s="9" cm="1" t="str">
        <f t="array" ref="R88">IF(C88="","",ROUND(Q88/1000000,3)&amp;" M€")</f>
        <v/>
      </c>
      <c r="S88" s="9">
</c>
      <c r="T88" s="9" cm="1" t="str">
        <f t="array" ref="T88">IF(C88="","",SUBSTITUTE(S88,"","")&amp;"%")</f>
        <v/>
      </c>
      <c r="U88" s="6" cm="1" t="str">
        <f t="array" ref="U88">IF(($N88="")*($P88=""),"",IF(($N88&lt;&gt;"")*($N88&gt;TODAY()-9)*($N88&lt;TODAY()+1)*($P88&lt;&gt;"")*($P88&gt;=TODAY())*($P88&lt;=TODAY()+13),"Semaine passée &amp; à venir",IF(($N88&lt;&gt;"")*($N88&gt;TODAY()-9)*($N88&lt;TODAY()+1),"Semaine passée",IF(($P88&lt;&gt;"")*($P88&gt;=TODAY())*($P88&lt;=TODAY()+13),"À venir","Autre"))))</f>
        <v/>
      </c>
      <c r="V88" s="5" cm="1" t="n">
        <f t="array" ref="V88">IF(C88&lt;&gt;"",1,0)</f>
        <v>0</v>
      </c>
      <c r="W88" s="5">
</c>
      <c r="X88" s="5">
</c>
      <c r="Y88" s="5">
</c>
      <c r="Z88" s="5">
</c>
      <c r="AA88" s="5">
</c>
      <c r="AB88" s="5">
</c>
      <c r="AC88" s="5">
</c>
      <c r="AD88" s="5">
</c>
      <c r="AE88" s="5">
</c>
      <c r="AF88" s="5">
</c>
      <c r="AG88" s="5">
</c>
      <c r="AH88" s="5">
</c>
      <c r="AI88" s="5">
</c>
      <c r="AJ88" s="5">
</c>
    </row>
    <row r="89" ht="70.5" customHeight="1">
      <c r="A89" s="6">
</c>
      <c r="B89" s="6">
</c>
      <c r="C89" s="9">
</c>
      <c r="D89" s="9">
</c>
      <c r="E89" s="6">
</c>
      <c r="F89" s="5">
</c>
      <c r="G89" s="10" cm="1" t="str">
        <f t="array" ref="G89">IF(F89="","",SUBSTITUTE(SUBSTITUTE(SUBSTITUTE(SUBSTITUTE(F89,"&lt;li&gt;",CHAR(10)),"&lt;/li&gt;",""),"&lt;br&gt;",CHAR(10)),"&lt;strong&gt;",""))</f>
        <v/>
      </c>
      <c r="H89" s="10" cm="1" t="str">
        <f t="array" ref="H89">IF(G89="","",SUBSTITUTE(SUBSTITUTE(SUBSTITUTE(SUBSTITUTE(SUBSTITUTE(G89,"&lt;p&gt;",""),"&lt;/p&gt;",""),"&lt;ul&gt;",""),"&lt;/ul&gt;",""),"&lt;/strong&gt;",""))</f>
        <v/>
      </c>
      <c r="I89" s="11" cm="1" t="str">
        <f t="array" ref="I89">IF(C89="","",IF(OR(H89="",H89=0,H89=FALSE),"-",H89))</f>
        <v/>
      </c>
      <c r="J89" s="5">
</c>
      <c r="K89" s="6">
</c>
      <c r="L89" s="6" cm="1" t="str">
        <f t="array" ref="L89">IF(C89="","",IF(K89="Mort / Plus rien à faire","KO","OK"))</f>
        <v/>
      </c>
      <c r="M89" s="12">
</c>
      <c r="N89" s="12" cm="1" t="str">
        <f t="array" ref="N89">IF(OR(C89="",M89="",M89=0),"",M89)</f>
        <v/>
      </c>
      <c r="O89" s="12">
</c>
      <c r="P89" s="12" cm="1" t="str">
        <f t="array" ref="P89">IF(C89="","",IF(OR(O89="",O89=0),"-",O89))</f>
        <v/>
      </c>
      <c r="Q89" s="13">
</c>
      <c r="R89" s="9" cm="1" t="str">
        <f t="array" ref="R89">IF(C89="","",ROUND(Q89/1000000,3)&amp;" M€")</f>
        <v/>
      </c>
      <c r="S89" s="9">
</c>
      <c r="T89" s="9" cm="1" t="str">
        <f t="array" ref="T89">IF(C89="","",SUBSTITUTE(S89,"","")&amp;"%")</f>
        <v/>
      </c>
      <c r="U89" s="6" cm="1" t="str">
        <f t="array" ref="U89">IF(($N89="")*($P89=""),"",IF(($N89&lt;&gt;"")*($N89&gt;TODAY()-9)*($N89&lt;TODAY()+1)*($P89&lt;&gt;"")*($P89&gt;=TODAY())*($P89&lt;=TODAY()+13),"Semaine passée &amp; à venir",IF(($N89&lt;&gt;"")*($N89&gt;TODAY()-9)*($N89&lt;TODAY()+1),"Semaine passée",IF(($P89&lt;&gt;"")*($P89&gt;=TODAY())*($P89&lt;=TODAY()+13),"À venir","Autre"))))</f>
        <v/>
      </c>
      <c r="V89" s="5" cm="1" t="n">
        <f t="array" ref="V89">IF(C89&lt;&gt;"",1,0)</f>
        <v>0</v>
      </c>
      <c r="W89" s="5">
</c>
      <c r="X89" s="5">
</c>
      <c r="Y89" s="5">
</c>
      <c r="Z89" s="5">
</c>
      <c r="AA89" s="5">
</c>
      <c r="AB89" s="5">
</c>
      <c r="AC89" s="5">
</c>
      <c r="AD89" s="5">
</c>
      <c r="AE89" s="5">
</c>
      <c r="AF89" s="5">
</c>
      <c r="AG89" s="5">
</c>
      <c r="AH89" s="5">
</c>
      <c r="AI89" s="5">
</c>
      <c r="AJ89" s="5">
</c>
    </row>
    <row r="90" ht="70.5" customHeight="1">
      <c r="A90" s="6">
</c>
      <c r="B90" s="6">
</c>
      <c r="C90" s="9">
</c>
      <c r="D90" s="9">
</c>
      <c r="E90" s="6">
</c>
      <c r="F90" s="5">
</c>
      <c r="G90" s="10" cm="1" t="str">
        <f t="array" ref="G90">IF(F90="","",SUBSTITUTE(SUBSTITUTE(SUBSTITUTE(SUBSTITUTE(F90,"&lt;li&gt;",CHAR(10)),"&lt;/li&gt;",""),"&lt;br&gt;",CHAR(10)),"&lt;strong&gt;",""))</f>
        <v/>
      </c>
      <c r="H90" s="10" cm="1" t="str">
        <f t="array" ref="H90">IF(G90="","",SUBSTITUTE(SUBSTITUTE(SUBSTITUTE(SUBSTITUTE(SUBSTITUTE(G90,"&lt;p&gt;",""),"&lt;/p&gt;",""),"&lt;ul&gt;",""),"&lt;/ul&gt;",""),"&lt;/strong&gt;",""))</f>
        <v/>
      </c>
      <c r="I90" s="11" cm="1" t="str">
        <f t="array" ref="I90">IF(C90="","",IF(OR(H90="",H90=0,H90=FALSE),"-",H90))</f>
        <v/>
      </c>
      <c r="J90" s="5">
</c>
      <c r="K90" s="6">
</c>
      <c r="L90" s="6" cm="1" t="str">
        <f t="array" ref="L90">IF(C90="","",IF(K90="Mort / Plus rien à faire","KO","OK"))</f>
        <v/>
      </c>
      <c r="M90" s="12">
</c>
      <c r="N90" s="12" cm="1" t="str">
        <f t="array" ref="N90">IF(OR(C90="",M90="",M90=0),"",M90)</f>
        <v/>
      </c>
      <c r="O90" s="12">
</c>
      <c r="P90" s="12" cm="1" t="str">
        <f t="array" ref="P90">IF(C90="","",IF(OR(O90="",O90=0),"-",O90))</f>
        <v/>
      </c>
      <c r="Q90" s="13">
</c>
      <c r="R90" s="9" cm="1" t="str">
        <f t="array" ref="R90">IF(C90="","",ROUND(Q90/1000000,3)&amp;" M€")</f>
        <v/>
      </c>
      <c r="S90" s="9">
</c>
      <c r="T90" s="9" cm="1" t="str">
        <f t="array" ref="T90">IF(C90="","",SUBSTITUTE(S90,"","")&amp;"%")</f>
        <v/>
      </c>
      <c r="U90" s="6" cm="1" t="str">
        <f t="array" ref="U90">IF(($N90="")*($P90=""),"",IF(($N90&lt;&gt;"")*($N90&gt;TODAY()-9)*($N90&lt;TODAY()+1)*($P90&lt;&gt;"")*($P90&gt;=TODAY())*($P90&lt;=TODAY()+13),"Semaine passée &amp; à venir",IF(($N90&lt;&gt;"")*($N90&gt;TODAY()-9)*($N90&lt;TODAY()+1),"Semaine passée",IF(($P90&lt;&gt;"")*($P90&gt;=TODAY())*($P90&lt;=TODAY()+13),"À venir","Autre"))))</f>
        <v/>
      </c>
      <c r="V90" s="5" cm="1" t="n">
        <f t="array" ref="V90">IF(C90&lt;&gt;"",1,0)</f>
        <v>0</v>
      </c>
      <c r="W90" s="5">
</c>
      <c r="X90" s="5">
</c>
      <c r="Y90" s="5">
</c>
      <c r="Z90" s="5">
</c>
      <c r="AA90" s="5">
</c>
      <c r="AB90" s="5">
</c>
      <c r="AC90" s="5">
</c>
      <c r="AD90" s="5">
</c>
      <c r="AE90" s="5">
</c>
      <c r="AF90" s="5">
</c>
      <c r="AG90" s="5">
</c>
      <c r="AH90" s="5">
</c>
      <c r="AI90" s="5">
</c>
      <c r="AJ90" s="5">
</c>
    </row>
    <row r="91" ht="70.5" customHeight="1">
      <c r="A91" s="6">
</c>
      <c r="B91" s="6">
</c>
      <c r="C91" s="9">
</c>
      <c r="D91" s="9">
</c>
      <c r="E91" s="6">
</c>
      <c r="F91" s="5">
</c>
      <c r="G91" s="10" cm="1" t="str">
        <f t="array" ref="G91">IF(F91="","",SUBSTITUTE(SUBSTITUTE(SUBSTITUTE(SUBSTITUTE(F91,"&lt;li&gt;",CHAR(10)),"&lt;/li&gt;",""),"&lt;br&gt;",CHAR(10)),"&lt;strong&gt;",""))</f>
        <v/>
      </c>
      <c r="H91" s="10" cm="1" t="str">
        <f t="array" ref="H91">IF(G91="","",SUBSTITUTE(SUBSTITUTE(SUBSTITUTE(SUBSTITUTE(SUBSTITUTE(G91,"&lt;p&gt;",""),"&lt;/p&gt;",""),"&lt;ul&gt;",""),"&lt;/ul&gt;",""),"&lt;/strong&gt;",""))</f>
        <v/>
      </c>
      <c r="I91" s="11" cm="1" t="str">
        <f t="array" ref="I91">IF(C91="","",IF(OR(H91="",H91=0,H91=FALSE),"-",H91))</f>
        <v/>
      </c>
      <c r="J91" s="5">
</c>
      <c r="K91" s="6">
</c>
      <c r="L91" s="6" cm="1" t="str">
        <f t="array" ref="L91">IF(C91="","",IF(K91="Mort / Plus rien à faire","KO","OK"))</f>
        <v/>
      </c>
      <c r="M91" s="12">
</c>
      <c r="N91" s="12" cm="1" t="str">
        <f t="array" ref="N91">IF(OR(C91="",M91="",M91=0),"",M91)</f>
        <v/>
      </c>
      <c r="O91" s="12">
</c>
      <c r="P91" s="12" cm="1" t="str">
        <f t="array" ref="P91">IF(C91="","",IF(OR(O91="",O91=0),"-",O91))</f>
        <v/>
      </c>
      <c r="Q91" s="13">
</c>
      <c r="R91" s="9" cm="1" t="str">
        <f t="array" ref="R91">IF(C91="","",ROUND(Q91/1000000,3)&amp;" M€")</f>
        <v/>
      </c>
      <c r="S91" s="9">
</c>
      <c r="T91" s="9" cm="1" t="str">
        <f t="array" ref="T91">IF(C91="","",SUBSTITUTE(S91,"","")&amp;"%")</f>
        <v/>
      </c>
      <c r="U91" s="6" cm="1" t="str">
        <f t="array" ref="U91">IF(($N91="")*($P91=""),"",IF(($N91&lt;&gt;"")*($N91&gt;TODAY()-9)*($N91&lt;TODAY()+1)*($P91&lt;&gt;"")*($P91&gt;=TODAY())*($P91&lt;=TODAY()+13),"Semaine passée &amp; à venir",IF(($N91&lt;&gt;"")*($N91&gt;TODAY()-9)*($N91&lt;TODAY()+1),"Semaine passée",IF(($P91&lt;&gt;"")*($P91&gt;=TODAY())*($P91&lt;=TODAY()+13),"À venir","Autre"))))</f>
        <v/>
      </c>
      <c r="V91" s="5" cm="1" t="n">
        <f t="array" ref="V91">IF(C91&lt;&gt;"",1,0)</f>
        <v>0</v>
      </c>
      <c r="W91" s="5">
</c>
      <c r="X91" s="5">
</c>
      <c r="Y91" s="5">
</c>
      <c r="Z91" s="5">
</c>
      <c r="AA91" s="5">
</c>
      <c r="AB91" s="5">
</c>
      <c r="AC91" s="5">
</c>
      <c r="AD91" s="5">
</c>
      <c r="AE91" s="5">
</c>
      <c r="AF91" s="5">
</c>
      <c r="AG91" s="5">
</c>
      <c r="AH91" s="5">
</c>
      <c r="AI91" s="5">
</c>
      <c r="AJ91" s="5">
</c>
    </row>
    <row r="92" ht="70.5" customHeight="1">
      <c r="A92" s="6">
</c>
      <c r="B92" s="6">
</c>
      <c r="C92" s="9">
</c>
      <c r="D92" s="9">
</c>
      <c r="E92" s="6">
</c>
      <c r="F92" s="5">
</c>
      <c r="G92" s="10" cm="1" t="str">
        <f t="array" ref="G92">IF(F92="","",SUBSTITUTE(SUBSTITUTE(SUBSTITUTE(SUBSTITUTE(F92,"&lt;li&gt;",CHAR(10)),"&lt;/li&gt;",""),"&lt;br&gt;",CHAR(10)),"&lt;strong&gt;",""))</f>
        <v/>
      </c>
      <c r="H92" s="10" cm="1" t="str">
        <f t="array" ref="H92">IF(G92="","",SUBSTITUTE(SUBSTITUTE(SUBSTITUTE(SUBSTITUTE(SUBSTITUTE(G92,"&lt;p&gt;",""),"&lt;/p&gt;",""),"&lt;ul&gt;",""),"&lt;/ul&gt;",""),"&lt;/strong&gt;",""))</f>
        <v/>
      </c>
      <c r="I92" s="11" cm="1" t="str">
        <f t="array" ref="I92">IF(C92="","",IF(OR(H92="",H92=0,H92=FALSE),"-",H92))</f>
        <v/>
      </c>
      <c r="J92" s="5">
</c>
      <c r="K92" s="6">
</c>
      <c r="L92" s="6" cm="1" t="str">
        <f t="array" ref="L92">IF(C92="","",IF(K92="Mort / Plus rien à faire","KO","OK"))</f>
        <v/>
      </c>
      <c r="M92" s="12">
</c>
      <c r="N92" s="12" cm="1" t="str">
        <f t="array" ref="N92">IF(OR(C92="",M92="",M92=0),"",M92)</f>
        <v/>
      </c>
      <c r="O92" s="12">
</c>
      <c r="P92" s="12" cm="1" t="str">
        <f t="array" ref="P92">IF(C92="","",IF(OR(O92="",O92=0),"-",O92))</f>
        <v/>
      </c>
      <c r="Q92" s="13">
</c>
      <c r="R92" s="9" cm="1" t="str">
        <f t="array" ref="R92">IF(C92="","",ROUND(Q92/1000000,3)&amp;" M€")</f>
        <v/>
      </c>
      <c r="S92" s="9">
</c>
      <c r="T92" s="9" cm="1" t="str">
        <f t="array" ref="T92">IF(C92="","",SUBSTITUTE(S92,"","")&amp;"%")</f>
        <v/>
      </c>
      <c r="U92" s="6" cm="1" t="str">
        <f t="array" ref="U92">IF(($N92="")*($P92=""),"",IF(($N92&lt;&gt;"")*($N92&gt;TODAY()-9)*($N92&lt;TODAY()+1)*($P92&lt;&gt;"")*($P92&gt;=TODAY())*($P92&lt;=TODAY()+13),"Semaine passée &amp; à venir",IF(($N92&lt;&gt;"")*($N92&gt;TODAY()-9)*($N92&lt;TODAY()+1),"Semaine passée",IF(($P92&lt;&gt;"")*($P92&gt;=TODAY())*($P92&lt;=TODAY()+13),"À venir","Autre"))))</f>
        <v/>
      </c>
      <c r="V92" s="5" cm="1" t="n">
        <f t="array" ref="V92">IF(C92&lt;&gt;"",1,0)</f>
        <v>0</v>
      </c>
      <c r="W92" s="5">
</c>
      <c r="X92" s="5">
</c>
      <c r="Y92" s="5">
</c>
      <c r="Z92" s="5">
</c>
      <c r="AA92" s="5">
</c>
      <c r="AB92" s="5">
</c>
      <c r="AC92" s="5">
</c>
      <c r="AD92" s="5">
</c>
      <c r="AE92" s="5">
</c>
      <c r="AF92" s="5">
</c>
      <c r="AG92" s="5">
</c>
      <c r="AH92" s="5">
</c>
      <c r="AI92" s="5">
</c>
      <c r="AJ92" s="5">
</c>
    </row>
    <row r="93" ht="70.5" customHeight="1">
      <c r="A93" s="6">
</c>
      <c r="B93" s="6">
</c>
      <c r="C93" s="9">
</c>
      <c r="D93" s="9">
</c>
      <c r="E93" s="6">
</c>
      <c r="F93" s="5">
</c>
      <c r="G93" s="10" cm="1" t="str">
        <f t="array" ref="G93">IF(F93="","",SUBSTITUTE(SUBSTITUTE(SUBSTITUTE(SUBSTITUTE(F93,"&lt;li&gt;",CHAR(10)),"&lt;/li&gt;",""),"&lt;br&gt;",CHAR(10)),"&lt;strong&gt;",""))</f>
        <v/>
      </c>
      <c r="H93" s="10" cm="1" t="str">
        <f t="array" ref="H93">IF(G93="","",SUBSTITUTE(SUBSTITUTE(SUBSTITUTE(SUBSTITUTE(SUBSTITUTE(G93,"&lt;p&gt;",""),"&lt;/p&gt;",""),"&lt;ul&gt;",""),"&lt;/ul&gt;",""),"&lt;/strong&gt;",""))</f>
        <v/>
      </c>
      <c r="I93" s="11" cm="1" t="str">
        <f t="array" ref="I93">IF(C93="","",IF(OR(H93="",H93=0,H93=FALSE),"-",H93))</f>
        <v/>
      </c>
      <c r="J93" s="5">
</c>
      <c r="K93" s="6">
</c>
      <c r="L93" s="6" cm="1" t="str">
        <f t="array" ref="L93">IF(C93="","",IF(K93="Mort / Plus rien à faire","KO","OK"))</f>
        <v/>
      </c>
      <c r="M93" s="12">
</c>
      <c r="N93" s="12" cm="1" t="str">
        <f t="array" ref="N93">IF(OR(C93="",M93="",M93=0),"",M93)</f>
        <v/>
      </c>
      <c r="O93" s="12">
</c>
      <c r="P93" s="12" cm="1" t="str">
        <f t="array" ref="P93">IF(C93="","",IF(OR(O93="",O93=0),"-",O93))</f>
        <v/>
      </c>
      <c r="Q93" s="13">
</c>
      <c r="R93" s="9" cm="1" t="str">
        <f t="array" ref="R93">IF(C93="","",ROUND(Q93/1000000,3)&amp;" M€")</f>
        <v/>
      </c>
      <c r="S93" s="9">
</c>
      <c r="T93" s="9" cm="1" t="str">
        <f t="array" ref="T93">IF(C93="","",SUBSTITUTE(S93,"","")&amp;"%")</f>
        <v/>
      </c>
      <c r="U93" s="6" cm="1" t="str">
        <f t="array" ref="U93">IF(($N93="")*($P93=""),"",IF(($N93&lt;&gt;"")*($N93&gt;TODAY()-9)*($N93&lt;TODAY()+1)*($P93&lt;&gt;"")*($P93&gt;=TODAY())*($P93&lt;=TODAY()+13),"Semaine passée &amp; à venir",IF(($N93&lt;&gt;"")*($N93&gt;TODAY()-9)*($N93&lt;TODAY()+1),"Semaine passée",IF(($P93&lt;&gt;"")*($P93&gt;=TODAY())*($P93&lt;=TODAY()+13),"À venir","Autre"))))</f>
        <v/>
      </c>
      <c r="V93" s="5" cm="1" t="n">
        <f t="array" ref="V93">IF(C93&lt;&gt;"",1,0)</f>
        <v>0</v>
      </c>
      <c r="W93" s="5">
</c>
      <c r="X93" s="5">
</c>
      <c r="Y93" s="5">
</c>
      <c r="Z93" s="5">
</c>
      <c r="AA93" s="5">
</c>
      <c r="AB93" s="5">
</c>
      <c r="AC93" s="5">
</c>
      <c r="AD93" s="5">
</c>
      <c r="AE93" s="5">
</c>
      <c r="AF93" s="5">
</c>
      <c r="AG93" s="5">
</c>
      <c r="AH93" s="5">
</c>
      <c r="AI93" s="5">
</c>
      <c r="AJ93" s="5">
</c>
    </row>
    <row r="94" ht="70.5" customHeight="1">
      <c r="A94" s="6">
</c>
      <c r="B94" s="6">
</c>
      <c r="C94" s="9">
</c>
      <c r="D94" s="9">
</c>
      <c r="E94" s="6">
</c>
      <c r="F94" s="5">
</c>
      <c r="G94" s="10" cm="1" t="str">
        <f t="array" ref="G94">IF(F94="","",SUBSTITUTE(SUBSTITUTE(SUBSTITUTE(SUBSTITUTE(F94,"&lt;li&gt;",CHAR(10)),"&lt;/li&gt;",""),"&lt;br&gt;",CHAR(10)),"&lt;strong&gt;",""))</f>
        <v/>
      </c>
      <c r="H94" s="10" cm="1" t="str">
        <f t="array" ref="H94">IF(G94="","",SUBSTITUTE(SUBSTITUTE(SUBSTITUTE(SUBSTITUTE(SUBSTITUTE(G94,"&lt;p&gt;",""),"&lt;/p&gt;",""),"&lt;ul&gt;",""),"&lt;/ul&gt;",""),"&lt;/strong&gt;",""))</f>
        <v/>
      </c>
      <c r="I94" s="11" cm="1" t="str">
        <f t="array" ref="I94">IF(C94="","",IF(OR(H94="",H94=0,H94=FALSE),"-",H94))</f>
        <v/>
      </c>
      <c r="J94" s="5">
</c>
      <c r="K94" s="6">
</c>
      <c r="L94" s="6" cm="1" t="str">
        <f t="array" ref="L94">IF(C94="","",IF(K94="Mort / Plus rien à faire","KO","OK"))</f>
        <v/>
      </c>
      <c r="M94" s="12">
</c>
      <c r="N94" s="12" cm="1" t="str">
        <f t="array" ref="N94">IF(OR(C94="",M94="",M94=0),"",M94)</f>
        <v/>
      </c>
      <c r="O94" s="12">
</c>
      <c r="P94" s="12" cm="1" t="str">
        <f t="array" ref="P94">IF(C94="","",IF(OR(O94="",O94=0),"-",O94))</f>
        <v/>
      </c>
      <c r="Q94" s="13">
</c>
      <c r="R94" s="9" cm="1" t="str">
        <f t="array" ref="R94">IF(C94="","",ROUND(Q94/1000000,3)&amp;" M€")</f>
        <v/>
      </c>
      <c r="S94" s="9">
</c>
      <c r="T94" s="9" cm="1" t="str">
        <f t="array" ref="T94">IF(C94="","",SUBSTITUTE(S94,"","")&amp;"%")</f>
        <v/>
      </c>
      <c r="U94" s="6" cm="1" t="str">
        <f t="array" ref="U94">IF(($N94="")*($P94=""),"",IF(($N94&lt;&gt;"")*($N94&gt;TODAY()-9)*($N94&lt;TODAY()+1)*($P94&lt;&gt;"")*($P94&gt;=TODAY())*($P94&lt;=TODAY()+13),"Semaine passée &amp; à venir",IF(($N94&lt;&gt;"")*($N94&gt;TODAY()-9)*($N94&lt;TODAY()+1),"Semaine passée",IF(($P94&lt;&gt;"")*($P94&gt;=TODAY())*($P94&lt;=TODAY()+13),"À venir","Autre"))))</f>
        <v/>
      </c>
      <c r="V94" s="5" cm="1" t="n">
        <f t="array" ref="V94">IF(C94&lt;&gt;"",1,0)</f>
        <v>0</v>
      </c>
      <c r="W94" s="5">
</c>
      <c r="X94" s="5">
</c>
      <c r="Y94" s="5">
</c>
      <c r="Z94" s="5">
</c>
      <c r="AA94" s="5">
</c>
      <c r="AB94" s="5">
</c>
      <c r="AC94" s="5">
</c>
      <c r="AD94" s="5">
</c>
      <c r="AE94" s="5">
</c>
      <c r="AF94" s="5">
</c>
      <c r="AG94" s="5">
</c>
      <c r="AH94" s="5">
</c>
      <c r="AI94" s="5">
</c>
      <c r="AJ94" s="5">
</c>
    </row>
    <row r="95" ht="70.5" customHeight="1">
      <c r="A95" s="6">
</c>
      <c r="B95" s="6">
</c>
      <c r="C95" s="9">
</c>
      <c r="D95" s="9">
</c>
      <c r="E95" s="6">
</c>
      <c r="F95" s="5">
</c>
      <c r="G95" s="10" cm="1" t="str">
        <f t="array" ref="G95">IF(F95="","",SUBSTITUTE(SUBSTITUTE(SUBSTITUTE(SUBSTITUTE(F95,"&lt;li&gt;",CHAR(10)),"&lt;/li&gt;",""),"&lt;br&gt;",CHAR(10)),"&lt;strong&gt;",""))</f>
        <v/>
      </c>
      <c r="H95" s="10" cm="1" t="str">
        <f t="array" ref="H95">IF(G95="","",SUBSTITUTE(SUBSTITUTE(SUBSTITUTE(SUBSTITUTE(SUBSTITUTE(G95,"&lt;p&gt;",""),"&lt;/p&gt;",""),"&lt;ul&gt;",""),"&lt;/ul&gt;",""),"&lt;/strong&gt;",""))</f>
        <v/>
      </c>
      <c r="I95" s="11" cm="1" t="str">
        <f t="array" ref="I95">IF(C95="","",IF(OR(H95="",H95=0,H95=FALSE),"-",H95))</f>
        <v/>
      </c>
      <c r="J95" s="5">
</c>
      <c r="K95" s="6">
</c>
      <c r="L95" s="6" cm="1" t="str">
        <f t="array" ref="L95">IF(C95="","",IF(K95="Mort / Plus rien à faire","KO","OK"))</f>
        <v/>
      </c>
      <c r="M95" s="12">
</c>
      <c r="N95" s="12" cm="1" t="str">
        <f t="array" ref="N95">IF(OR(C95="",M95="",M95=0),"",M95)</f>
        <v/>
      </c>
      <c r="O95" s="12">
</c>
      <c r="P95" s="12" cm="1" t="str">
        <f t="array" ref="P95">IF(C95="","",IF(OR(O95="",O95=0),"-",O95))</f>
        <v/>
      </c>
      <c r="Q95" s="13">
</c>
      <c r="R95" s="9" cm="1" t="str">
        <f t="array" ref="R95">IF(C95="","",ROUND(Q95/1000000,3)&amp;" M€")</f>
        <v/>
      </c>
      <c r="S95" s="9">
</c>
      <c r="T95" s="9" cm="1" t="str">
        <f t="array" ref="T95">IF(C95="","",SUBSTITUTE(S95,"","")&amp;"%")</f>
        <v/>
      </c>
      <c r="U95" s="6" cm="1" t="str">
        <f t="array" ref="U95">IF(($N95="")*($P95=""),"",IF(($N95&lt;&gt;"")*($N95&gt;TODAY()-9)*($N95&lt;TODAY()+1)*($P95&lt;&gt;"")*($P95&gt;=TODAY())*($P95&lt;=TODAY()+13),"Semaine passée &amp; à venir",IF(($N95&lt;&gt;"")*($N95&gt;TODAY()-9)*($N95&lt;TODAY()+1),"Semaine passée",IF(($P95&lt;&gt;"")*($P95&gt;=TODAY())*($P95&lt;=TODAY()+13),"À venir","Autre"))))</f>
        <v/>
      </c>
      <c r="V95" s="5" cm="1" t="n">
        <f t="array" ref="V95">IF(C95&lt;&gt;"",1,0)</f>
        <v>0</v>
      </c>
      <c r="W95" s="5">
</c>
      <c r="X95" s="5">
</c>
      <c r="Y95" s="5">
</c>
      <c r="Z95" s="5">
</c>
      <c r="AA95" s="5">
</c>
      <c r="AB95" s="5">
</c>
      <c r="AC95" s="5">
</c>
      <c r="AD95" s="5">
</c>
      <c r="AE95" s="5">
</c>
      <c r="AF95" s="5">
</c>
      <c r="AG95" s="5">
</c>
      <c r="AH95" s="5">
</c>
      <c r="AI95" s="5">
</c>
      <c r="AJ95" s="5">
</c>
    </row>
    <row r="96" ht="70.5" customHeight="1">
      <c r="A96" s="6">
</c>
      <c r="B96" s="6">
</c>
      <c r="C96" s="9">
</c>
      <c r="D96" s="9">
</c>
      <c r="E96" s="6">
</c>
      <c r="F96" s="5">
</c>
      <c r="G96" s="10" cm="1" t="str">
        <f t="array" ref="G96">IF(F96="","",SUBSTITUTE(SUBSTITUTE(SUBSTITUTE(SUBSTITUTE(F96,"&lt;li&gt;",CHAR(10)),"&lt;/li&gt;",""),"&lt;br&gt;",CHAR(10)),"&lt;strong&gt;",""))</f>
        <v/>
      </c>
      <c r="H96" s="10" cm="1" t="str">
        <f t="array" ref="H96">IF(G96="","",SUBSTITUTE(SUBSTITUTE(SUBSTITUTE(SUBSTITUTE(SUBSTITUTE(G96,"&lt;p&gt;",""),"&lt;/p&gt;",""),"&lt;ul&gt;",""),"&lt;/ul&gt;",""),"&lt;/strong&gt;",""))</f>
        <v/>
      </c>
      <c r="I96" s="11" cm="1" t="str">
        <f t="array" ref="I96">IF(C96="","",IF(OR(H96="",H96=0,H96=FALSE),"-",H96))</f>
        <v/>
      </c>
      <c r="J96" s="5">
</c>
      <c r="K96" s="6">
</c>
      <c r="L96" s="6" cm="1" t="str">
        <f t="array" ref="L96">IF(C96="","",IF(K96="Mort / Plus rien à faire","KO","OK"))</f>
        <v/>
      </c>
      <c r="M96" s="12">
</c>
      <c r="N96" s="12" cm="1" t="str">
        <f t="array" ref="N96">IF(OR(C96="",M96="",M96=0),"",M96)</f>
        <v/>
      </c>
      <c r="O96" s="12">
</c>
      <c r="P96" s="12" cm="1" t="str">
        <f t="array" ref="P96">IF(C96="","",IF(OR(O96="",O96=0),"-",O96))</f>
        <v/>
      </c>
      <c r="Q96" s="13">
</c>
      <c r="R96" s="9" cm="1" t="str">
        <f t="array" ref="R96">IF(C96="","",ROUND(Q96/1000000,3)&amp;" M€")</f>
        <v/>
      </c>
      <c r="S96" s="9">
</c>
      <c r="T96" s="9" cm="1" t="str">
        <f t="array" ref="T96">IF(C96="","",SUBSTITUTE(S96,"","")&amp;"%")</f>
        <v/>
      </c>
      <c r="U96" s="6" cm="1" t="str">
        <f t="array" ref="U96">IF(($N96="")*($P96=""),"",IF(($N96&lt;&gt;"")*($N96&gt;TODAY()-9)*($N96&lt;TODAY()+1)*($P96&lt;&gt;"")*($P96&gt;=TODAY())*($P96&lt;=TODAY()+13),"Semaine passée &amp; à venir",IF(($N96&lt;&gt;"")*($N96&gt;TODAY()-9)*($N96&lt;TODAY()+1),"Semaine passée",IF(($P96&lt;&gt;"")*($P96&gt;=TODAY())*($P96&lt;=TODAY()+13),"À venir","Autre"))))</f>
        <v/>
      </c>
      <c r="V96" s="5" cm="1" t="n">
        <f t="array" ref="V96">IF(C96&lt;&gt;"",1,0)</f>
        <v>0</v>
      </c>
      <c r="W96" s="5">
</c>
      <c r="X96" s="5">
</c>
      <c r="Y96" s="5">
</c>
      <c r="Z96" s="5">
</c>
      <c r="AA96" s="5">
</c>
      <c r="AB96" s="5">
</c>
      <c r="AC96" s="5">
</c>
      <c r="AD96" s="5">
</c>
      <c r="AE96" s="5">
</c>
      <c r="AF96" s="5">
</c>
      <c r="AG96" s="5">
</c>
      <c r="AH96" s="5">
</c>
      <c r="AI96" s="5">
</c>
      <c r="AJ96" s="5">
</c>
    </row>
    <row r="97" ht="70.5" customHeight="1">
      <c r="A97" s="6">
</c>
      <c r="B97" s="6">
</c>
      <c r="C97" s="9">
</c>
      <c r="D97" s="9">
</c>
      <c r="E97" s="6">
</c>
      <c r="F97" s="5">
</c>
      <c r="G97" s="10" cm="1" t="str">
        <f t="array" ref="G97">IF(F97="","",SUBSTITUTE(SUBSTITUTE(SUBSTITUTE(SUBSTITUTE(F97,"&lt;li&gt;",CHAR(10)),"&lt;/li&gt;",""),"&lt;br&gt;",CHAR(10)),"&lt;strong&gt;",""))</f>
        <v/>
      </c>
      <c r="H97" s="10" cm="1" t="str">
        <f t="array" ref="H97">IF(G97="","",SUBSTITUTE(SUBSTITUTE(SUBSTITUTE(SUBSTITUTE(SUBSTITUTE(G97,"&lt;p&gt;",""),"&lt;/p&gt;",""),"&lt;ul&gt;",""),"&lt;/ul&gt;",""),"&lt;/strong&gt;",""))</f>
        <v/>
      </c>
      <c r="I97" s="11" cm="1" t="str">
        <f t="array" ref="I97">IF(C97="","",IF(OR(H97="",H97=0,H97=FALSE),"-",H97))</f>
        <v/>
      </c>
      <c r="J97" s="5">
</c>
      <c r="K97" s="6">
</c>
      <c r="L97" s="6" cm="1" t="str">
        <f t="array" ref="L97">IF(C97="","",IF(K97="Mort / Plus rien à faire","KO","OK"))</f>
        <v/>
      </c>
      <c r="M97" s="12">
</c>
      <c r="N97" s="12" cm="1" t="str">
        <f t="array" ref="N97">IF(OR(C97="",M97="",M97=0),"",M97)</f>
        <v/>
      </c>
      <c r="O97" s="12">
</c>
      <c r="P97" s="12" cm="1" t="str">
        <f t="array" ref="P97">IF(C97="","",IF(OR(O97="",O97=0),"-",O97))</f>
        <v/>
      </c>
      <c r="Q97" s="13">
</c>
      <c r="R97" s="9" cm="1" t="str">
        <f t="array" ref="R97">IF(C97="","",ROUND(Q97/1000000,3)&amp;" M€")</f>
        <v/>
      </c>
      <c r="S97" s="9">
</c>
      <c r="T97" s="9" cm="1" t="str">
        <f t="array" ref="T97">IF(C97="","",SUBSTITUTE(S97,"","")&amp;"%")</f>
        <v/>
      </c>
      <c r="U97" s="6" cm="1" t="str">
        <f t="array" ref="U97">IF(($N97="")*($P97=""),"",IF(($N97&lt;&gt;"")*($N97&gt;TODAY()-9)*($N97&lt;TODAY()+1)*($P97&lt;&gt;"")*($P97&gt;=TODAY())*($P97&lt;=TODAY()+13),"Semaine passée &amp; à venir",IF(($N97&lt;&gt;"")*($N97&gt;TODAY()-9)*($N97&lt;TODAY()+1),"Semaine passée",IF(($P97&lt;&gt;"")*($P97&gt;=TODAY())*($P97&lt;=TODAY()+13),"À venir","Autre"))))</f>
        <v/>
      </c>
      <c r="V97" s="5" cm="1" t="n">
        <f t="array" ref="V97">IF(C97&lt;&gt;"",1,0)</f>
        <v>0</v>
      </c>
      <c r="W97" s="5">
</c>
      <c r="X97" s="5">
</c>
      <c r="Y97" s="5">
</c>
      <c r="Z97" s="5">
</c>
      <c r="AA97" s="5">
</c>
      <c r="AB97" s="5">
</c>
      <c r="AC97" s="5">
</c>
      <c r="AD97" s="5">
</c>
      <c r="AE97" s="5">
</c>
      <c r="AF97" s="5">
</c>
      <c r="AG97" s="5">
</c>
      <c r="AH97" s="5">
</c>
      <c r="AI97" s="5">
</c>
      <c r="AJ97" s="5">
</c>
    </row>
    <row r="98" ht="70.5" customHeight="1">
      <c r="A98" s="6">
</c>
      <c r="B98" s="6">
</c>
      <c r="C98" s="9">
</c>
      <c r="D98" s="9">
</c>
      <c r="E98" s="6">
</c>
      <c r="F98" s="5">
</c>
      <c r="G98" s="10" cm="1" t="str">
        <f t="array" ref="G98">IF(F98="","",SUBSTITUTE(SUBSTITUTE(SUBSTITUTE(SUBSTITUTE(F98,"&lt;li&gt;",CHAR(10)),"&lt;/li&gt;",""),"&lt;br&gt;",CHAR(10)),"&lt;strong&gt;",""))</f>
        <v/>
      </c>
      <c r="H98" s="10" cm="1" t="str">
        <f t="array" ref="H98">IF(G98="","",SUBSTITUTE(SUBSTITUTE(SUBSTITUTE(SUBSTITUTE(SUBSTITUTE(G98,"&lt;p&gt;",""),"&lt;/p&gt;",""),"&lt;ul&gt;",""),"&lt;/ul&gt;",""),"&lt;/strong&gt;",""))</f>
        <v/>
      </c>
      <c r="I98" s="11" cm="1" t="str">
        <f t="array" ref="I98">IF(C98="","",IF(OR(H98="",H98=0,H98=FALSE),"-",H98))</f>
        <v/>
      </c>
      <c r="J98" s="5">
</c>
      <c r="K98" s="6">
</c>
      <c r="L98" s="6" cm="1" t="str">
        <f t="array" ref="L98">IF(C98="","",IF(K98="Mort / Plus rien à faire","KO","OK"))</f>
        <v/>
      </c>
      <c r="M98" s="12">
</c>
      <c r="N98" s="12" cm="1" t="str">
        <f t="array" ref="N98">IF(OR(C98="",M98="",M98=0),"",M98)</f>
        <v/>
      </c>
      <c r="O98" s="12">
</c>
      <c r="P98" s="12" cm="1" t="str">
        <f t="array" ref="P98">IF(C98="","",IF(OR(O98="",O98=0),"-",O98))</f>
        <v/>
      </c>
      <c r="Q98" s="13">
</c>
      <c r="R98" s="9" cm="1" t="str">
        <f t="array" ref="R98">IF(C98="","",ROUND(Q98/1000000,3)&amp;" M€")</f>
        <v/>
      </c>
      <c r="S98" s="9">
</c>
      <c r="T98" s="9" cm="1" t="str">
        <f t="array" ref="T98">IF(C98="","",SUBSTITUTE(S98,"","")&amp;"%")</f>
        <v/>
      </c>
      <c r="U98" s="6" cm="1" t="str">
        <f t="array" ref="U98">IF(($N98="")*($P98=""),"",IF(($N98&lt;&gt;"")*($N98&gt;TODAY()-9)*($N98&lt;TODAY()+1)*($P98&lt;&gt;"")*($P98&gt;=TODAY())*($P98&lt;=TODAY()+13),"Semaine passée &amp; à venir",IF(($N98&lt;&gt;"")*($N98&gt;TODAY()-9)*($N98&lt;TODAY()+1),"Semaine passée",IF(($P98&lt;&gt;"")*($P98&gt;=TODAY())*($P98&lt;=TODAY()+13),"À venir","Autre"))))</f>
        <v/>
      </c>
      <c r="V98" s="5" cm="1" t="n">
        <f t="array" ref="V98">IF(C98&lt;&gt;"",1,0)</f>
        <v>0</v>
      </c>
      <c r="W98" s="5">
</c>
      <c r="X98" s="5">
</c>
      <c r="Y98" s="5">
</c>
      <c r="Z98" s="5">
</c>
      <c r="AA98" s="5">
</c>
      <c r="AB98" s="5">
</c>
      <c r="AC98" s="5">
</c>
      <c r="AD98" s="5">
</c>
      <c r="AE98" s="5">
</c>
      <c r="AF98" s="5">
</c>
      <c r="AG98" s="5">
</c>
      <c r="AH98" s="5">
</c>
      <c r="AI98" s="5">
</c>
      <c r="AJ98" s="5">
</c>
    </row>
    <row r="99" ht="70.5" customHeight="1">
      <c r="A99" s="6">
</c>
      <c r="B99" s="6">
</c>
      <c r="C99" s="9">
</c>
      <c r="D99" s="9">
</c>
      <c r="E99" s="6">
</c>
      <c r="F99" s="5">
</c>
      <c r="G99" s="10" cm="1" t="str">
        <f t="array" ref="G99">IF(F99="","",SUBSTITUTE(SUBSTITUTE(SUBSTITUTE(SUBSTITUTE(F99,"&lt;li&gt;",CHAR(10)),"&lt;/li&gt;",""),"&lt;br&gt;",CHAR(10)),"&lt;strong&gt;",""))</f>
        <v/>
      </c>
      <c r="H99" s="10" cm="1" t="str">
        <f t="array" ref="H99">IF(G99="","",SUBSTITUTE(SUBSTITUTE(SUBSTITUTE(SUBSTITUTE(SUBSTITUTE(G99,"&lt;p&gt;",""),"&lt;/p&gt;",""),"&lt;ul&gt;",""),"&lt;/ul&gt;",""),"&lt;/strong&gt;",""))</f>
        <v/>
      </c>
      <c r="I99" s="11" cm="1" t="str">
        <f t="array" ref="I99">IF(C99="","",IF(OR(H99="",H99=0,H99=FALSE),"-",H99))</f>
        <v/>
      </c>
      <c r="J99" s="5">
</c>
      <c r="K99" s="6">
</c>
      <c r="L99" s="6" cm="1" t="str">
        <f t="array" ref="L99">IF(C99="","",IF(K99="Mort / Plus rien à faire","KO","OK"))</f>
        <v/>
      </c>
      <c r="M99" s="12">
</c>
      <c r="N99" s="12" cm="1" t="str">
        <f t="array" ref="N99">IF(OR(C99="",M99="",M99=0),"",M99)</f>
        <v/>
      </c>
      <c r="O99" s="12">
</c>
      <c r="P99" s="12" cm="1" t="str">
        <f t="array" ref="P99">IF(C99="","",IF(OR(O99="",O99=0),"-",O99))</f>
        <v/>
      </c>
      <c r="Q99" s="13">
</c>
      <c r="R99" s="9" cm="1" t="str">
        <f t="array" ref="R99">IF(C99="","",ROUND(Q99/1000000,3)&amp;" M€")</f>
        <v/>
      </c>
      <c r="S99" s="9">
</c>
      <c r="T99" s="9" cm="1" t="str">
        <f t="array" ref="T99">IF(C99="","",SUBSTITUTE(S99,"","")&amp;"%")</f>
        <v/>
      </c>
      <c r="U99" s="6" cm="1" t="str">
        <f t="array" ref="U99">IF(($N99="")*($P99=""),"",IF(($N99&lt;&gt;"")*($N99&gt;TODAY()-9)*($N99&lt;TODAY()+1)*($P99&lt;&gt;"")*($P99&gt;=TODAY())*($P99&lt;=TODAY()+13),"Semaine passée &amp; à venir",IF(($N99&lt;&gt;"")*($N99&gt;TODAY()-9)*($N99&lt;TODAY()+1),"Semaine passée",IF(($P99&lt;&gt;"")*($P99&gt;=TODAY())*($P99&lt;=TODAY()+13),"À venir","Autre"))))</f>
        <v/>
      </c>
      <c r="V99" s="5" cm="1" t="n">
        <f t="array" ref="V99">IF(C99&lt;&gt;"",1,0)</f>
        <v>0</v>
      </c>
      <c r="W99" s="5">
</c>
      <c r="X99" s="5">
</c>
      <c r="Y99" s="5">
</c>
      <c r="Z99" s="5">
</c>
      <c r="AA99" s="5">
</c>
      <c r="AB99" s="5">
</c>
      <c r="AC99" s="5">
</c>
      <c r="AD99" s="5">
</c>
      <c r="AE99" s="5">
</c>
      <c r="AF99" s="5">
</c>
      <c r="AG99" s="5">
</c>
      <c r="AH99" s="5">
</c>
      <c r="AI99" s="5">
</c>
      <c r="AJ99" s="5">
</c>
    </row>
    <row r="100" ht="70.5" customHeight="1">
      <c r="A100" s="6">
</c>
      <c r="B100" s="6">
</c>
      <c r="C100" s="9">
</c>
      <c r="D100" s="9">
</c>
      <c r="E100" s="6">
</c>
      <c r="F100" s="5">
</c>
      <c r="G100" s="10" cm="1" t="str">
        <f t="array" ref="G100">IF(F100="","",SUBSTITUTE(SUBSTITUTE(SUBSTITUTE(SUBSTITUTE(F100,"&lt;li&gt;",CHAR(10)),"&lt;/li&gt;",""),"&lt;br&gt;",CHAR(10)),"&lt;strong&gt;",""))</f>
        <v/>
      </c>
      <c r="H100" s="10" cm="1" t="str">
        <f t="array" ref="H100">IF(G100="","",SUBSTITUTE(SUBSTITUTE(SUBSTITUTE(SUBSTITUTE(SUBSTITUTE(G100,"&lt;p&gt;",""),"&lt;/p&gt;",""),"&lt;ul&gt;",""),"&lt;/ul&gt;",""),"&lt;/strong&gt;",""))</f>
        <v/>
      </c>
      <c r="I100" s="11" cm="1" t="str">
        <f t="array" ref="I100">IF(C100="","",IF(OR(H100="",H100=0,H100=FALSE),"-",H100))</f>
        <v/>
      </c>
      <c r="J100" s="5">
</c>
      <c r="K100" s="6">
</c>
      <c r="L100" s="6" cm="1" t="str">
        <f t="array" ref="L100">IF(C100="","",IF(K100="Mort / Plus rien à faire","KO","OK"))</f>
        <v/>
      </c>
      <c r="M100" s="12">
</c>
      <c r="N100" s="12" cm="1" t="str">
        <f t="array" ref="N100">IF(OR(C100="",M100="",M100=0),"",M100)</f>
        <v/>
      </c>
      <c r="O100" s="12">
</c>
      <c r="P100" s="12" cm="1" t="str">
        <f t="array" ref="P100">IF(C100="","",IF(OR(O100="",O100=0),"-",O100))</f>
        <v/>
      </c>
      <c r="Q100" s="13">
</c>
      <c r="R100" s="9" cm="1" t="str">
        <f t="array" ref="R100">IF(C100="","",ROUND(Q100/1000000,3)&amp;" M€")</f>
        <v/>
      </c>
      <c r="S100" s="9">
</c>
      <c r="T100" s="9" cm="1" t="str">
        <f t="array" ref="T100">IF(C100="","",SUBSTITUTE(S100,"","")&amp;"%")</f>
        <v/>
      </c>
      <c r="U100" s="6" cm="1" t="str">
        <f t="array" ref="U100">IF(($N100="")*($P100=""),"",IF(($N100&lt;&gt;"")*($N100&gt;TODAY()-9)*($N100&lt;TODAY()+1)*($P100&lt;&gt;"")*($P100&gt;=TODAY())*($P100&lt;=TODAY()+13),"Semaine passée &amp; à venir",IF(($N100&lt;&gt;"")*($N100&gt;TODAY()-9)*($N100&lt;TODAY()+1),"Semaine passée",IF(($P100&lt;&gt;"")*($P100&gt;=TODAY())*($P100&lt;=TODAY()+13),"À venir","Autre"))))</f>
        <v/>
      </c>
      <c r="V100" s="5" cm="1" t="n">
        <f t="array" ref="V100">IF(C100&lt;&gt;"",1,0)</f>
        <v>0</v>
      </c>
      <c r="W100" s="5">
</c>
      <c r="X100" s="5">
</c>
      <c r="Y100" s="5">
</c>
      <c r="Z100" s="5">
</c>
      <c r="AA100" s="5">
</c>
      <c r="AB100" s="5">
</c>
      <c r="AC100" s="5">
</c>
      <c r="AD100" s="5">
</c>
      <c r="AE100" s="5">
</c>
      <c r="AF100" s="5">
</c>
      <c r="AG100" s="5">
</c>
      <c r="AH100" s="5">
</c>
      <c r="AI100" s="5">
</c>
      <c r="AJ100" s="5">
</c>
    </row>
    <row r="101" ht="70.5" customHeight="1">
      <c r="A101" s="6">
</c>
      <c r="B101" s="6">
</c>
      <c r="C101" s="9">
</c>
      <c r="D101" s="9">
</c>
      <c r="E101" s="6">
</c>
      <c r="F101" s="5">
</c>
      <c r="G101" s="10" cm="1" t="str">
        <f t="array" ref="G101">IF(F101="","",SUBSTITUTE(SUBSTITUTE(SUBSTITUTE(SUBSTITUTE(F101,"&lt;li&gt;",CHAR(10)),"&lt;/li&gt;",""),"&lt;br&gt;",CHAR(10)),"&lt;strong&gt;",""))</f>
        <v/>
      </c>
      <c r="H101" s="10" cm="1" t="str">
        <f t="array" ref="H101">IF(G101="","",SUBSTITUTE(SUBSTITUTE(SUBSTITUTE(SUBSTITUTE(SUBSTITUTE(G101,"&lt;p&gt;",""),"&lt;/p&gt;",""),"&lt;ul&gt;",""),"&lt;/ul&gt;",""),"&lt;/strong&gt;",""))</f>
        <v/>
      </c>
      <c r="I101" s="11" cm="1" t="str">
        <f t="array" ref="I101">IF(C101="","",IF(OR(H101="",H101=0,H101=FALSE),"-",H101))</f>
        <v/>
      </c>
      <c r="J101" s="5">
</c>
      <c r="K101" s="6">
</c>
      <c r="L101" s="6" cm="1" t="str">
        <f t="array" ref="L101">IF(C101="","",IF(K101="Mort / Plus rien à faire","KO","OK"))</f>
        <v/>
      </c>
      <c r="M101" s="12">
</c>
      <c r="N101" s="12" cm="1" t="str">
        <f t="array" ref="N101">IF(OR(C101="",M101="",M101=0),"",M101)</f>
        <v/>
      </c>
      <c r="O101" s="12">
</c>
      <c r="P101" s="12" cm="1" t="str">
        <f t="array" ref="P101">IF(C101="","",IF(OR(O101="",O101=0),"-",O101))</f>
        <v/>
      </c>
      <c r="Q101" s="13">
</c>
      <c r="R101" s="9" cm="1" t="str">
        <f t="array" ref="R101">IF(C101="","",ROUND(Q101/1000000,3)&amp;" M€")</f>
        <v/>
      </c>
      <c r="S101" s="9">
</c>
      <c r="T101" s="9" cm="1" t="str">
        <f t="array" ref="T101">IF(C101="","",SUBSTITUTE(S101,"","")&amp;"%")</f>
        <v/>
      </c>
      <c r="U101" s="6" cm="1" t="str">
        <f t="array" ref="U101">IF(($N101="")*($P101=""),"",IF(($N101&lt;&gt;"")*($N101&gt;TODAY()-9)*($N101&lt;TODAY()+1)*($P101&lt;&gt;"")*($P101&gt;=TODAY())*($P101&lt;=TODAY()+13),"Semaine passée &amp; à venir",IF(($N101&lt;&gt;"")*($N101&gt;TODAY()-9)*($N101&lt;TODAY()+1),"Semaine passée",IF(($P101&lt;&gt;"")*($P101&gt;=TODAY())*($P101&lt;=TODAY()+13),"À venir","Autre"))))</f>
        <v/>
      </c>
      <c r="V101" s="5" cm="1" t="n">
        <f t="array" ref="V101">IF(C101&lt;&gt;"",1,0)</f>
        <v>0</v>
      </c>
      <c r="W101" s="5">
</c>
      <c r="X101" s="5">
</c>
      <c r="Y101" s="5">
</c>
      <c r="Z101" s="5">
</c>
      <c r="AA101" s="5">
</c>
      <c r="AB101" s="5">
</c>
      <c r="AC101" s="5">
</c>
      <c r="AD101" s="5">
</c>
      <c r="AE101" s="5">
</c>
      <c r="AF101" s="5">
</c>
      <c r="AG101" s="5">
</c>
      <c r="AH101" s="5">
</c>
      <c r="AI101" s="5">
</c>
      <c r="AJ101" s="5">
</c>
    </row>
    <row r="102" ht="70.5" customHeight="1">
      <c r="A102" s="6">
</c>
      <c r="B102" s="6">
</c>
      <c r="C102" s="9">
</c>
      <c r="D102" s="9">
</c>
      <c r="E102" s="6">
</c>
      <c r="F102" s="5">
</c>
      <c r="G102" s="10" cm="1" t="str">
        <f t="array" ref="G102">IF(F102="","",SUBSTITUTE(SUBSTITUTE(SUBSTITUTE(SUBSTITUTE(F102,"&lt;li&gt;",CHAR(10)),"&lt;/li&gt;",""),"&lt;br&gt;",CHAR(10)),"&lt;strong&gt;",""))</f>
        <v/>
      </c>
      <c r="H102" s="10" cm="1" t="str">
        <f t="array" ref="H102">IF(G102="","",SUBSTITUTE(SUBSTITUTE(SUBSTITUTE(SUBSTITUTE(SUBSTITUTE(G102,"&lt;p&gt;",""),"&lt;/p&gt;",""),"&lt;ul&gt;",""),"&lt;/ul&gt;",""),"&lt;/strong&gt;",""))</f>
        <v/>
      </c>
      <c r="I102" s="11" cm="1" t="str">
        <f t="array" ref="I102">IF(C102="","",IF(OR(H102="",H102=0,H102=FALSE),"-",H102))</f>
        <v/>
      </c>
      <c r="J102" s="5">
</c>
      <c r="K102" s="6">
</c>
      <c r="L102" s="6" cm="1" t="str">
        <f t="array" ref="L102">IF(C102="","",IF(K102="Mort / Plus rien à faire","KO","OK"))</f>
        <v/>
      </c>
      <c r="M102" s="12">
</c>
      <c r="N102" s="12" cm="1" t="str">
        <f t="array" ref="N102">IF(OR(C102="",M102="",M102=0),"",M102)</f>
        <v/>
      </c>
      <c r="O102" s="12">
</c>
      <c r="P102" s="12" cm="1" t="str">
        <f t="array" ref="P102">IF(C102="","",IF(OR(O102="",O102=0),"-",O102))</f>
        <v/>
      </c>
      <c r="Q102" s="13">
</c>
      <c r="R102" s="9" cm="1" t="str">
        <f t="array" ref="R102">IF(C102="","",ROUND(Q102/1000000,3)&amp;" M€")</f>
        <v/>
      </c>
      <c r="S102" s="9">
</c>
      <c r="T102" s="9" cm="1" t="str">
        <f t="array" ref="T102">IF(C102="","",SUBSTITUTE(S102,"","")&amp;"%")</f>
        <v/>
      </c>
      <c r="U102" s="6" cm="1" t="str">
        <f t="array" ref="U102">IF(($N102="")*($P102=""),"",IF(($N102&lt;&gt;"")*($N102&gt;TODAY()-9)*($N102&lt;TODAY()+1)*($P102&lt;&gt;"")*($P102&gt;=TODAY())*($P102&lt;=TODAY()+13),"Semaine passée &amp; à venir",IF(($N102&lt;&gt;"")*($N102&gt;TODAY()-9)*($N102&lt;TODAY()+1),"Semaine passée",IF(($P102&lt;&gt;"")*($P102&gt;=TODAY())*($P102&lt;=TODAY()+13),"À venir","Autre"))))</f>
        <v/>
      </c>
      <c r="V102" s="5" cm="1" t="n">
        <f t="array" ref="V102">IF(C102&lt;&gt;"",1,0)</f>
        <v>0</v>
      </c>
      <c r="W102" s="5">
</c>
      <c r="X102" s="5">
</c>
      <c r="Y102" s="5">
</c>
      <c r="Z102" s="5">
</c>
      <c r="AA102" s="5">
</c>
      <c r="AB102" s="5">
</c>
      <c r="AC102" s="5">
</c>
      <c r="AD102" s="5">
</c>
      <c r="AE102" s="5">
</c>
      <c r="AF102" s="5">
</c>
      <c r="AG102" s="5">
</c>
      <c r="AH102" s="5">
</c>
      <c r="AI102" s="5">
</c>
      <c r="AJ102" s="5">
</c>
    </row>
  </sheetData>
  <conditionalFormatting sqref="N4:N102">
    <cfRule priority="1" stopIfTrue="0" type="expression" dxfId="0">
      <formula>($N4&lt;&gt;"")*(($N4&gt;TODAY()-9)*($N4&lt;TODAY()+1)+(INT($N4)=TODAY()))
</formula>
    </cfRule>
  </conditionalFormatting>
  <conditionalFormatting sqref="P4:P102">
    <cfRule priority="1" stopIfTrue="0" type="expression" dxfId="1">
      <formula>($P4&lt;&gt;"")*($P4&gt;=TODAY())*($P4&lt;=TODAY()+13)</formula>
    </cfRule>
  </conditionalFormatting>
  <conditionalFormatting sqref="I4:I102">
    <cfRule priority="1" stopIfTrue="0" type="expression" dxfId="0">
      <formula>(($N4&lt;&gt;"")*($N4&gt;TODAY()-9)*($N4&lt;=TODAY())) + (($P4&lt;&gt;"")*($P4&gt;=TODAY())*($P4&lt;=TODAY()+13))</formula>
    </cfRule>
  </conditionalFormatting>
  <conditionalFormatting sqref="U4:U102">
    <cfRule priority="1" stopIfTrue="0" type="containsText" text="Semaine passée &amp; à venir" operator="containsText" dxfId="0">
      <formula>NOT(ISERROR(SEARCH("Semaine passée &amp; à venir",U4)))</formula>
    </cfRule>
  </conditionalFormatting>
  <conditionalFormatting sqref="U4:U102">
    <cfRule priority="1" stopIfTrue="0" type="containsText" text="Semaine passée" operator="containsText" dxfId="0">
      <formula>NOT(ISERROR(SEARCH("Semaine passée",U4)))</formula>
    </cfRule>
  </conditionalFormatting>
  <conditionalFormatting sqref="U4:U102">
    <cfRule priority="1" stopIfTrue="0" type="containsText" text="À venir" operator="containsText" dxfId="0">
      <formula>NOT(ISERROR(SEARCH("À venir",U4)))</formula>
    </cfRule>
  </conditionalFormatting>
  <tableParts count="1">
    <tablePart r:id="rId1"/>
  </tableParts>
</worksheet>
</file>