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List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color rgb="00FFFFFF"/>
    </font>
    <font>
      <sz val="10"/>
    </font>
  </fonts>
  <fills count="6">
    <fill>
      <patternFill/>
    </fill>
    <fill>
      <patternFill patternType="gray125"/>
    </fill>
    <fill>
      <patternFill patternType="solid">
        <fgColor rgb="004B0082"/>
      </patternFill>
    </fill>
    <fill>
      <patternFill patternType="solid">
        <fgColor rgb="00F2F2F2"/>
      </patternFill>
    </fill>
    <fill>
      <patternFill patternType="solid">
        <fgColor rgb="0090CC9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8"/>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20" customWidth="1" min="4" max="4"/>
    <col width="20" customWidth="1" min="5" max="5"/>
    <col width="60" customWidth="1" min="6" max="6"/>
    <col width="10" customWidth="1" min="7" max="7"/>
    <col width="18" customWidth="1" min="8" max="8"/>
    <col width="30" customWidth="1" min="9" max="9"/>
    <col width="12" customWidth="1" min="10" max="10"/>
    <col width="12" customWidth="1" min="11" max="11"/>
    <col width="20" customWidth="1" min="12" max="12"/>
    <col hidden="1" width="13" customWidth="1" min="26" max="26"/>
  </cols>
  <sheetData>
    <row r="1" ht="30" customHeight="1">
      <c r="A1" s="1" t="inlineStr">
        <is>
          <t>Fichier LP</t>
        </is>
      </c>
    </row>
    <row r="2" ht="25" customHeight="1">
      <c r="A2" s="2" t="n">
        <v>155</v>
      </c>
      <c r="J2" s="2">
        <f>ROUND(Z2/1000000,3)&amp;" M€"</f>
        <v/>
      </c>
      <c r="Z2">
        <f>SUM(Z4:Z158)</f>
        <v/>
      </c>
    </row>
    <row r="3" ht="40" customHeight="1">
      <c r="A3" s="3" t="inlineStr">
        <is>
          <t>Fonds</t>
        </is>
      </c>
      <c r="B3" s="3" t="inlineStr">
        <is>
          <t>Typologie</t>
        </is>
      </c>
      <c r="C3" s="3" t="inlineStr">
        <is>
          <t>Entité</t>
        </is>
      </c>
      <c r="D3" s="3" t="inlineStr">
        <is>
          <t>Contact</t>
        </is>
      </c>
      <c r="E3" s="3" t="inlineStr">
        <is>
          <t>Contact Levée</t>
        </is>
      </c>
      <c r="F3" s="3" t="inlineStr">
        <is>
          <t>Commentaire</t>
        </is>
      </c>
      <c r="G3" s="3" t="inlineStr">
        <is>
          <t>Intérêt</t>
        </is>
      </c>
      <c r="H3" s="3" t="inlineStr">
        <is>
          <t>Date dernière activité</t>
        </is>
      </c>
      <c r="I3" s="3" t="inlineStr">
        <is>
          <t>Dernière activité</t>
        </is>
      </c>
      <c r="J3" s="3" t="inlineStr">
        <is>
          <t>Ticket</t>
        </is>
      </c>
      <c r="K3" s="3" t="inlineStr">
        <is>
          <t>% Maturation</t>
        </is>
      </c>
      <c r="L3" s="3" t="inlineStr">
        <is>
          <t>Tri</t>
        </is>
      </c>
    </row>
    <row r="4" ht="60" customHeight="1">
      <c r="A4" s="4" t="inlineStr">
        <is>
          <t>DEEPTECH - Exergon</t>
        </is>
      </c>
      <c r="B4" s="4" t="inlineStr">
        <is>
          <t>Banque (haut de bilan)</t>
        </is>
      </c>
      <c r="C4" s="4" t="inlineStr">
        <is>
          <t>Crédit Agricole Nord Midi-Pyrénées, Fabien FAURE</t>
        </is>
      </c>
      <c r="D4" s="4" t="inlineStr">
        <is>
          <t>Fabien FAURE</t>
        </is>
      </c>
      <c r="E4" s="4" t="inlineStr">
        <is>
          <t>Romain Andrieu</t>
        </is>
      </c>
      <c r="F4" s="5" t="inlineStr">
        <is>
          <t>RDV 3/07/2026 Fantine/équipe : gèrent 15M fonds propres, 8M déjà investis (Amundi, Argos, Minings), 30 lignes PE, pas de niches, santé global. Intérêt venture 2027, préférence small-cap, intérêt Quanto Growth/Calderion, exergon douteux. Défense exclue (conformité). Décision DG, Lourdes hors périmètre.</t>
        </is>
      </c>
      <c r="G4" s="4" t="inlineStr">
        <is>
          <t>OK</t>
        </is>
      </c>
      <c r="H4" s="5" t="inlineStr">
        <is>
          <t>03/07/2026</t>
        </is>
      </c>
      <c r="I4" s="4" t="inlineStr">
        <is>
          <t>RDV avec fantine LEVEQUE sur Calderion et Quanto 3</t>
        </is>
      </c>
      <c r="J4" s="4">
        <f>ROUND(Z4/1000000,3)&amp;" M€"</f>
        <v/>
      </c>
      <c r="K4" s="4" t="inlineStr">
        <is>
          <t>10%</t>
        </is>
      </c>
      <c r="L4" s="5" t="inlineStr">
        <is>
          <t>Semaine passée</t>
        </is>
      </c>
      <c r="Z4" t="n">
        <v>0</v>
      </c>
    </row>
    <row r="5" ht="60" customHeight="1">
      <c r="A5" s="6" t="inlineStr">
        <is>
          <t>DEEPTECH - Exergon</t>
        </is>
      </c>
      <c r="B5" s="6" t="inlineStr">
        <is>
          <t>Fonds de pension</t>
        </is>
      </c>
      <c r="C5" s="6" t="inlineStr">
        <is>
          <t>Oslo Pensjonsforsikring AS, Ryan El Houssein</t>
        </is>
      </c>
      <c r="D5" s="6" t="inlineStr">
        <is>
          <t>Ryan El Houssein</t>
        </is>
      </c>
      <c r="E5" s="6" t="inlineStr">
        <is>
          <t>Romain Andrieu</t>
        </is>
      </c>
      <c r="F5" s="5" t="inlineStr">
        <is>
          <t>Focus court terme sur Newspace, rédaction note d’actualité sur enjeux/investissements, valoriser angle norvégien. OPF doit faire valider frais de gestion à la Ville, investissement direct alourdit les frais. Décision PE espérée avant fin juin 2025, vents contraires avec nouveau Head. Étudier CALDERION/EXERGON ensuite.</t>
        </is>
      </c>
      <c r="G5" s="6" t="inlineStr">
        <is>
          <t>OK</t>
        </is>
      </c>
      <c r="H5" s="5" t="inlineStr">
        <is>
          <t>03/07/2026</t>
        </is>
      </c>
      <c r="I5" s="6" t="inlineStr"/>
      <c r="J5" s="6">
        <f>ROUND(Z5/1000000,3)&amp;" M€"</f>
        <v/>
      </c>
      <c r="K5" s="6" t="inlineStr">
        <is>
          <t>10%</t>
        </is>
      </c>
      <c r="L5" s="5" t="inlineStr">
        <is>
          <t>Semaine passée</t>
        </is>
      </c>
      <c r="Z5" t="n">
        <v>15000000</v>
      </c>
    </row>
    <row r="6" ht="60" customHeight="1">
      <c r="A6" s="4" t="inlineStr">
        <is>
          <t>DEEPTECH - Exergon</t>
        </is>
      </c>
      <c r="B6" s="4" t="inlineStr">
        <is>
          <t>Public</t>
        </is>
      </c>
      <c r="C6" s="4" t="inlineStr">
        <is>
          <t>NYSNO, Lars HVAM</t>
        </is>
      </c>
      <c r="D6" s="4" t="inlineStr">
        <is>
          <t>Lars HVAM</t>
        </is>
      </c>
      <c r="E6" s="4" t="inlineStr">
        <is>
          <t>Romain Andrieu</t>
        </is>
      </c>
      <c r="F6" s="5" t="inlineStr">
        <is>
          <t>Joe Eliston (Investment Director) : cible fonds investissant en Norvège (min 40% thèse), GP implanté localement. Intérêt confirmé pour « Late seed » et « Serie A ». Moins à l’aise sur deeptech, préfère TRDL autour de 6. Ouvert à dealflow norvégien. Ok pour reparler à CALDERION si dealflow Norvège.</t>
        </is>
      </c>
      <c r="G6" s="4" t="inlineStr">
        <is>
          <t>OK</t>
        </is>
      </c>
      <c r="H6" s="5" t="inlineStr">
        <is>
          <t>03/07/2026</t>
        </is>
      </c>
      <c r="I6" s="4" t="inlineStr"/>
      <c r="J6" s="4">
        <f>ROUND(Z6/1000000,3)&amp;" M€"</f>
        <v/>
      </c>
      <c r="K6" s="4" t="inlineStr">
        <is>
          <t>10%</t>
        </is>
      </c>
      <c r="L6" s="5" t="inlineStr">
        <is>
          <t>Semaine passée</t>
        </is>
      </c>
      <c r="Z6" t="n">
        <v>0</v>
      </c>
    </row>
    <row r="7" ht="60" customHeight="1">
      <c r="A7" s="6" t="inlineStr">
        <is>
          <t>DEEPTECH - Exergon</t>
        </is>
      </c>
      <c r="B7" s="6" t="inlineStr">
        <is>
          <t>Banque privée</t>
        </is>
      </c>
      <c r="C7" s="6" t="inlineStr">
        <is>
          <t>SOCIETE GENERALE private banking, Maxime Sabiaux</t>
        </is>
      </c>
      <c r="D7" s="6" t="inlineStr">
        <is>
          <t>Maxime Sabiaux</t>
        </is>
      </c>
      <c r="E7" s="6" t="inlineStr">
        <is>
          <t>Romain Andrieu</t>
        </is>
      </c>
      <c r="F7" s="5" t="inlineStr">
        <is>
          <t>RDV Maxime : présentation ciblée de 5 fonds (Milan/Isopin Exergon, Bruxelles/Calderion First, Lux/Quanto 3, Paris/Straton, Paris/NewSpace). NewSpace déjà présenté à Paris Bd Haussmann, suivi discussion nov. 2025 pour référencement SGPB avec Julie Nadal et Sophie Bernard. Nouvelle piste créée équipe Ventes.</t>
        </is>
      </c>
      <c r="G7" s="6" t="inlineStr">
        <is>
          <t>OK</t>
        </is>
      </c>
      <c r="H7" s="5" t="inlineStr">
        <is>
          <t>01/07/2026</t>
        </is>
      </c>
      <c r="I7" s="6" t="inlineStr"/>
      <c r="J7" s="6">
        <f>ROUND(Z7/1000000,3)&amp;" M€"</f>
        <v/>
      </c>
      <c r="K7" s="6" t="inlineStr">
        <is>
          <t>10%</t>
        </is>
      </c>
      <c r="L7" s="5" t="inlineStr">
        <is>
          <t>Semaine passée</t>
        </is>
      </c>
      <c r="Z7" t="n">
        <v>0</v>
      </c>
    </row>
    <row r="8" ht="60" customHeight="1">
      <c r="A8" s="4" t="inlineStr">
        <is>
          <t>DEEPTECH - Exergon</t>
        </is>
      </c>
      <c r="B8" s="4" t="inlineStr">
        <is>
          <t>Assurance/Mutuelle</t>
        </is>
      </c>
      <c r="C8" s="4" t="inlineStr">
        <is>
          <t>AEMA Groupe, Vincent TOURNIER</t>
        </is>
      </c>
      <c r="D8" s="4" t="inlineStr">
        <is>
          <t>Vincent TOURNIER</t>
        </is>
      </c>
      <c r="E8" s="4" t="inlineStr">
        <is>
          <t>Romain Andrieu</t>
        </is>
      </c>
      <c r="F8" s="5" t="inlineStr">
        <is>
          <t>Aucune activité ni échange prospect relevé. Piste créée pour équipe "Ventes" sans suivi ou action concrète enregistrée à ce jour. Prochaine étape non définie, aucune date d'échange ni retour prospect mentionné. Infos globales uniquement, pas d'interaction constatée.</t>
        </is>
      </c>
      <c r="G8" s="4" t="inlineStr">
        <is>
          <t>OK</t>
        </is>
      </c>
      <c r="H8" s="5" t="inlineStr">
        <is>
          <t>30/06/2026</t>
        </is>
      </c>
      <c r="I8" s="4" t="inlineStr">
        <is>
          <t>demande parrainage Tibi 3 à faire</t>
        </is>
      </c>
      <c r="J8" s="4">
        <f>ROUND(Z8/1000000,3)&amp;" M€"</f>
        <v/>
      </c>
      <c r="K8" s="4" t="inlineStr">
        <is>
          <t>10%</t>
        </is>
      </c>
      <c r="L8" s="5" t="inlineStr">
        <is>
          <t>Semaine passée</t>
        </is>
      </c>
      <c r="Z8" t="n">
        <v>0</v>
      </c>
    </row>
    <row r="9" ht="60" customHeight="1">
      <c r="A9" s="6" t="inlineStr">
        <is>
          <t>DEEPTECH - Exergon</t>
        </is>
      </c>
      <c r="B9" s="6" t="inlineStr">
        <is>
          <t>Assurance/Mutuelle</t>
        </is>
      </c>
      <c r="C9" s="6" t="inlineStr">
        <is>
          <t>Suravenir, François-Régis Bernicot</t>
        </is>
      </c>
      <c r="D9" s="6" t="inlineStr">
        <is>
          <t>François-Régis Bernicot</t>
        </is>
      </c>
      <c r="E9" s="6" t="inlineStr">
        <is>
          <t>Romain Andrieu</t>
        </is>
      </c>
      <c r="F9" s="5" t="inlineStr">
        <is>
          <t>Aucune activité ni échange prospect relevé. Piste créée pour équipe Ventes, aucun contact, retour ou action enregistrée à ce jour. Prochaine étape prévue : action à réaliser avant le 31/07/2026. Aucun avis, objection ou intention prospect identifié dans les échanges ou activités.</t>
        </is>
      </c>
      <c r="G9" s="6" t="inlineStr">
        <is>
          <t>OK</t>
        </is>
      </c>
      <c r="H9" s="5" t="inlineStr">
        <is>
          <t>30/06/2026</t>
        </is>
      </c>
      <c r="I9" s="6" t="inlineStr">
        <is>
          <t>demande parrainage Tibi 3</t>
        </is>
      </c>
      <c r="J9" s="6">
        <f>ROUND(Z9/1000000,3)&amp;" M€"</f>
        <v/>
      </c>
      <c r="K9" s="6" t="inlineStr">
        <is>
          <t>10%</t>
        </is>
      </c>
      <c r="L9" s="5" t="inlineStr">
        <is>
          <t>Semaine passée</t>
        </is>
      </c>
      <c r="Z9" t="n">
        <v>0</v>
      </c>
    </row>
    <row r="10" ht="60" customHeight="1">
      <c r="A10" s="4" t="inlineStr">
        <is>
          <t>DEEPTECH - Exergon</t>
        </is>
      </c>
      <c r="B10" s="4" t="inlineStr">
        <is>
          <t>Assurance/Mutuelle</t>
        </is>
      </c>
      <c r="C10" s="4" t="inlineStr">
        <is>
          <t>SOGECAP ( Société Générale Assurance), Denis HENKART</t>
        </is>
      </c>
      <c r="D10" s="4" t="inlineStr">
        <is>
          <t>Denis HENKART</t>
        </is>
      </c>
      <c r="E10" s="4" t="inlineStr">
        <is>
          <t>Romain Andrieu</t>
        </is>
      </c>
      <c r="F10" s="5" t="inlineStr">
        <is>
          <t>Aucune activité ni échange prospect détecté. Piste créée pour équipe "Ventes" (contexte de création explicite). Pas de contact, proposition, retour ni action menée à ce jour. Prochaine étape prévue : aucune information concrète, seule une échéance technique fixée au 31/07/2026.</t>
        </is>
      </c>
      <c r="G10" s="4" t="inlineStr">
        <is>
          <t>OK</t>
        </is>
      </c>
      <c r="H10" s="5" t="inlineStr">
        <is>
          <t>30/06/2026</t>
        </is>
      </c>
      <c r="I10" s="4" t="inlineStr">
        <is>
          <t>demande parrainage Tibi 3 à faire</t>
        </is>
      </c>
      <c r="J10" s="4">
        <f>ROUND(Z10/1000000,3)&amp;" M€"</f>
        <v/>
      </c>
      <c r="K10" s="4" t="inlineStr">
        <is>
          <t>10%</t>
        </is>
      </c>
      <c r="L10" s="5" t="inlineStr">
        <is>
          <t>Semaine passée</t>
        </is>
      </c>
      <c r="Z10" t="n">
        <v>0</v>
      </c>
    </row>
    <row r="11" ht="60" customHeight="1">
      <c r="A11" s="6" t="inlineStr">
        <is>
          <t>DEEPTECH - Exergon</t>
        </is>
      </c>
      <c r="B11" s="6" t="inlineStr"/>
      <c r="C11" s="6" t="inlineStr">
        <is>
          <t>NAVAL GROUP, Tony CROUILBOIS</t>
        </is>
      </c>
      <c r="D11" s="6" t="inlineStr">
        <is>
          <t>Tony CROUILBOIS</t>
        </is>
      </c>
      <c r="E11" s="6" t="inlineStr">
        <is>
          <t>Romain Andrieu</t>
        </is>
      </c>
      <c r="F11" s="5" t="inlineStr">
        <is>
          <t>Aucune activité ni échange prospect relevé. Piste créée pour équipe "Ventes". Pas d'actions, retours ou prochaines étapes documentés à ce jour. Infos globales uniquement, aucun suivi ou contact enregistré. Prochaine échéance fixée au 31/07/2026, sans détail sur la nature de l'action prévue.</t>
        </is>
      </c>
      <c r="G11" s="6" t="inlineStr">
        <is>
          <t>OK</t>
        </is>
      </c>
      <c r="H11" s="5" t="inlineStr">
        <is>
          <t>30/06/2026</t>
        </is>
      </c>
      <c r="I11" s="6" t="inlineStr">
        <is>
          <t>demande parrainage Tibi 3 à faire</t>
        </is>
      </c>
      <c r="J11" s="6">
        <f>ROUND(Z11/1000000,3)&amp;" M€"</f>
        <v/>
      </c>
      <c r="K11" s="6" t="inlineStr">
        <is>
          <t>10%</t>
        </is>
      </c>
      <c r="L11" s="5" t="inlineStr">
        <is>
          <t>Semaine passée</t>
        </is>
      </c>
      <c r="Z11" t="n">
        <v>0</v>
      </c>
    </row>
    <row r="12" ht="60" customHeight="1">
      <c r="A12" s="4" t="inlineStr">
        <is>
          <t>DEEPTECH - Exergon</t>
        </is>
      </c>
      <c r="B12" s="4" t="inlineStr">
        <is>
          <t>Caisse de retraite/Institution de prévoyance</t>
        </is>
      </c>
      <c r="C12" s="4" t="inlineStr">
        <is>
          <t>ERAFP (Etablissement de Retraite Additionnelle de la Fonction Publique), Cédric DJOUKAM</t>
        </is>
      </c>
      <c r="D12" s="4" t="inlineStr">
        <is>
          <t>Cédric DJOUKAM</t>
        </is>
      </c>
      <c r="E12" s="4" t="inlineStr">
        <is>
          <t>Romain Andrieu</t>
        </is>
      </c>
      <c r="F12" s="5" t="inlineStr">
        <is>
          <t>Pas de parrainage Tibi. Nouvelle piste créée pour équipe Ventes. Aucune activité ni échange prospect relevé à ce jour, pas de retour ni d'avis exprimé. Aucun suivi ou action complémentaire enregistrés, aucune date d'échange ou prochaine étape mentionnée dans les messages ou activités.</t>
        </is>
      </c>
      <c r="G12" s="4" t="inlineStr">
        <is>
          <t>OK</t>
        </is>
      </c>
      <c r="H12" s="5" t="inlineStr">
        <is>
          <t>02/07/2026</t>
        </is>
      </c>
      <c r="I12" s="4" t="inlineStr"/>
      <c r="J12" s="4">
        <f>ROUND(Z12/1000000,3)&amp;" M€"</f>
        <v/>
      </c>
      <c r="K12" s="4" t="inlineStr">
        <is>
          <t>10%</t>
        </is>
      </c>
      <c r="L12" s="5" t="inlineStr">
        <is>
          <t>Semaine passée</t>
        </is>
      </c>
      <c r="Z12" t="n">
        <v>0</v>
      </c>
    </row>
    <row r="13" ht="60" customHeight="1">
      <c r="A13" s="6" t="inlineStr">
        <is>
          <t>DEEPTECH - Exergon</t>
        </is>
      </c>
      <c r="B13" s="6" t="inlineStr">
        <is>
          <t>Corporate</t>
        </is>
      </c>
      <c r="C13" s="6" t="inlineStr">
        <is>
          <t>EDF, Bernard DESCREUX</t>
        </is>
      </c>
      <c r="D13" s="6" t="inlineStr">
        <is>
          <t>Bernard DESCREUX</t>
        </is>
      </c>
      <c r="E13" s="6" t="inlineStr">
        <is>
          <t>Romain Andrieu</t>
        </is>
      </c>
      <c r="F13" s="5" t="inlineStr">
        <is>
          <t>Aucune activité ni échange prospect relevé. Infos globales : piste créée pour équipe "Ventes". Pas de contact, proposition, retour prospect, ni prochaine étape identifiée à ce jour. Prochaine échéance interne fixée au 31/07/2026, aucune action concrète menée sur ce dossier pour l'instant.</t>
        </is>
      </c>
      <c r="G13" s="6" t="inlineStr">
        <is>
          <t>OK</t>
        </is>
      </c>
      <c r="H13" s="5" t="inlineStr">
        <is>
          <t>30/06/2026</t>
        </is>
      </c>
      <c r="I13" s="6" t="inlineStr">
        <is>
          <t>demande parrainage Tibi 3 à faire</t>
        </is>
      </c>
      <c r="J13" s="6">
        <f>ROUND(Z13/1000000,3)&amp;" M€"</f>
        <v/>
      </c>
      <c r="K13" s="6" t="inlineStr">
        <is>
          <t>10%</t>
        </is>
      </c>
      <c r="L13" s="5" t="inlineStr">
        <is>
          <t>Semaine passée</t>
        </is>
      </c>
      <c r="Z13" t="n">
        <v>0</v>
      </c>
    </row>
    <row r="14" ht="60" customHeight="1">
      <c r="A14" s="4" t="inlineStr">
        <is>
          <t>DEEPTECH - Exergon</t>
        </is>
      </c>
      <c r="B14" s="4" t="inlineStr">
        <is>
          <t>Assurance/Mutuelle</t>
        </is>
      </c>
      <c r="C14" s="4" t="inlineStr">
        <is>
          <t>Crédit Agricole Assurances, Matthieu LANCE</t>
        </is>
      </c>
      <c r="D14" s="4" t="inlineStr">
        <is>
          <t>Matthieu LANCE</t>
        </is>
      </c>
      <c r="E14" s="4" t="inlineStr">
        <is>
          <t>Romain Andrieu</t>
        </is>
      </c>
      <c r="F14" s="5" t="inlineStr">
        <is>
          <t>Aucune activité ni échange n'a été mené avec le prospect à ce jour. Opportunité créée pour l'équipe "Ventes". Prochaine étape prévue : action à réaliser avant le 31/07/2026. Aucun retour, contact ou avis du prospect enregistré pour l'instant.</t>
        </is>
      </c>
      <c r="G14" s="4" t="inlineStr">
        <is>
          <t>OK</t>
        </is>
      </c>
      <c r="H14" s="5" t="inlineStr">
        <is>
          <t>30/06/2026</t>
        </is>
      </c>
      <c r="I14" s="4" t="inlineStr">
        <is>
          <t>demande parrainage Tibi 3 à faire</t>
        </is>
      </c>
      <c r="J14" s="4">
        <f>ROUND(Z14/1000000,3)&amp;" M€"</f>
        <v/>
      </c>
      <c r="K14" s="4" t="inlineStr">
        <is>
          <t>10%</t>
        </is>
      </c>
      <c r="L14" s="5" t="inlineStr">
        <is>
          <t>Semaine passée</t>
        </is>
      </c>
      <c r="Z14" t="n">
        <v>0</v>
      </c>
    </row>
    <row r="15" ht="60" customHeight="1">
      <c r="A15" s="6" t="inlineStr">
        <is>
          <t>DEEPTECH - Exergon</t>
        </is>
      </c>
      <c r="B15" s="6" t="inlineStr">
        <is>
          <t>Assurance/Mutuelle</t>
        </is>
      </c>
      <c r="C15" s="6" t="inlineStr">
        <is>
          <t>Assurances du Crédit Mutuel, Quentin PELTIER</t>
        </is>
      </c>
      <c r="D15" s="6" t="inlineStr">
        <is>
          <t>Quentin PELTIER</t>
        </is>
      </c>
      <c r="E15" s="6" t="inlineStr">
        <is>
          <t>Romain Andrieu</t>
        </is>
      </c>
      <c r="F15" s="5" t="inlineStr">
        <is>
          <t>Contact Quentin Peltier : pas d'intérêt pour fonds thématiques ni petits fonds (&amp;lt;500M€), déjà exposés à la défense via stratégie interne, ouverts à un meeting sur le fonds quantique à l'approche de la levée, intérêt nuancé. Nouvelle piste créée équipe Ventes. Prochaine étape à planifier avant 31/07/2026.</t>
        </is>
      </c>
      <c r="G15" s="6" t="inlineStr">
        <is>
          <t>OK</t>
        </is>
      </c>
      <c r="H15" s="5" t="inlineStr">
        <is>
          <t>02/07/2026</t>
        </is>
      </c>
      <c r="I15" s="6" t="inlineStr">
        <is>
          <t>Demande parrainage Tibi 3 à faire</t>
        </is>
      </c>
      <c r="J15" s="6">
        <f>ROUND(Z15/1000000,3)&amp;" M€"</f>
        <v/>
      </c>
      <c r="K15" s="6" t="inlineStr">
        <is>
          <t>10%</t>
        </is>
      </c>
      <c r="L15" s="5" t="inlineStr">
        <is>
          <t>Semaine passée</t>
        </is>
      </c>
      <c r="Z15" t="n">
        <v>0</v>
      </c>
    </row>
    <row r="16" ht="60" customHeight="1">
      <c r="A16" s="4" t="inlineStr">
        <is>
          <t>DEEPTECH - Exergon</t>
        </is>
      </c>
      <c r="B16" s="4" t="inlineStr">
        <is>
          <t>Assurance/Mutuelle</t>
        </is>
      </c>
      <c r="C16" s="4" t="inlineStr">
        <is>
          <t>Groupe Le Conservateur, Bénédicte MAZELLIER</t>
        </is>
      </c>
      <c r="D16" s="4" t="inlineStr">
        <is>
          <t>Bénédicte MAZELLIER</t>
        </is>
      </c>
      <c r="E16" s="4" t="inlineStr">
        <is>
          <t>Romain Andrieu</t>
        </is>
      </c>
      <c r="F16" s="5" t="inlineStr">
        <is>
          <t>Contact mail + relance post-RDV physique à Thiblaut Cossenet, aucun retour ni avis prospect sur fonds présentés, pas de décision ni objection exprimée. Prochaine étape : suivi relance, attente réponse. Piste créée pour équipe Ventes, aucune autre action ou retour signalé à ce jour.</t>
        </is>
      </c>
      <c r="G16" s="4" t="inlineStr">
        <is>
          <t>OK</t>
        </is>
      </c>
      <c r="H16" s="5" t="inlineStr">
        <is>
          <t>30/06/2026</t>
        </is>
      </c>
      <c r="I16" s="4" t="inlineStr">
        <is>
          <t>Demande de parrainage Tibi 3 à faire</t>
        </is>
      </c>
      <c r="J16" s="4">
        <f>ROUND(Z16/1000000,3)&amp;" M€"</f>
        <v/>
      </c>
      <c r="K16" s="4" t="inlineStr">
        <is>
          <t>10%</t>
        </is>
      </c>
      <c r="L16" s="5" t="inlineStr">
        <is>
          <t>Semaine passée</t>
        </is>
      </c>
      <c r="Z16" t="n">
        <v>0</v>
      </c>
    </row>
    <row r="17" ht="60" customHeight="1">
      <c r="A17" s="6" t="inlineStr">
        <is>
          <t>DEEPTECH - Exergon</t>
        </is>
      </c>
      <c r="B17" s="6" t="inlineStr">
        <is>
          <t>Assurance/Mutuelle</t>
        </is>
      </c>
      <c r="C17" s="6" t="inlineStr">
        <is>
          <t>Groupama, Sylvain Burel</t>
        </is>
      </c>
      <c r="D17" s="6" t="inlineStr">
        <is>
          <t>Sylvain Burel</t>
        </is>
      </c>
      <c r="E17" s="6" t="inlineStr">
        <is>
          <t>Romain Andrieu</t>
        </is>
      </c>
      <c r="F17" s="5" t="inlineStr">
        <is>
          <t>Contact initié par AD pour Tibi 2 auprès de Calderion et Expansion. Nouvelle piste créée pour l'équipe Ventes. Pas de retour prospect ni d'avis exprimé à ce stade. Prochaine étape : suivi ou relance avant échéance fixée au 31/07/2026. Aucune autre activité ou échange prospect recensé.</t>
        </is>
      </c>
      <c r="G17" s="6" t="inlineStr">
        <is>
          <t>OK</t>
        </is>
      </c>
      <c r="H17" s="5" t="inlineStr">
        <is>
          <t>30/06/2026</t>
        </is>
      </c>
      <c r="I17" s="6" t="inlineStr">
        <is>
          <t>Demande de parrainage Tibi 3 à faire</t>
        </is>
      </c>
      <c r="J17" s="6">
        <f>ROUND(Z17/1000000,3)&amp;" M€"</f>
        <v/>
      </c>
      <c r="K17" s="6" t="inlineStr">
        <is>
          <t>10%</t>
        </is>
      </c>
      <c r="L17" s="5" t="inlineStr">
        <is>
          <t>Semaine passée</t>
        </is>
      </c>
      <c r="Z17" t="n">
        <v>0</v>
      </c>
    </row>
    <row r="18" ht="60" customHeight="1">
      <c r="A18" s="4" t="inlineStr">
        <is>
          <t>DEEPTECH - Exergon</t>
        </is>
      </c>
      <c r="B18" s="4" t="inlineStr">
        <is>
          <t>Corporate</t>
        </is>
      </c>
      <c r="C18" s="4" t="inlineStr">
        <is>
          <t>EUTELSAT S.A., Eva Berneke</t>
        </is>
      </c>
      <c r="D18" s="4" t="inlineStr">
        <is>
          <t>Eva Berneke</t>
        </is>
      </c>
      <c r="E18" s="4" t="inlineStr">
        <is>
          <t>Romain Andrieu</t>
        </is>
      </c>
      <c r="F18" s="5" t="inlineStr">
        <is>
          <t>Aucune activité ou échange récent avec le prospect. Seule information disponible : demande de parrainage Tibi 3 enregistrée, aucun suivi, message ou retour identifié à ce stade. Pas d'avis prospect, pas de prochaine étape planifiée, pas d'action passée documentée.</t>
        </is>
      </c>
      <c r="G18" s="4" t="inlineStr">
        <is>
          <t>OK</t>
        </is>
      </c>
      <c r="H18" s="5" t="inlineStr">
        <is>
          <t>30/06/2026</t>
        </is>
      </c>
      <c r="I18" s="4" t="inlineStr">
        <is>
          <t>Demande de parrainage Tibi 3 à faire</t>
        </is>
      </c>
      <c r="J18" s="4">
        <f>ROUND(Z18/1000000,3)&amp;" M€"</f>
        <v/>
      </c>
      <c r="K18" s="4" t="inlineStr">
        <is>
          <t>10%</t>
        </is>
      </c>
      <c r="L18" s="5" t="inlineStr">
        <is>
          <t>Semaine passée</t>
        </is>
      </c>
      <c r="Z18" t="n">
        <v>0</v>
      </c>
    </row>
    <row r="19" ht="60" customHeight="1">
      <c r="A19" s="6" t="inlineStr">
        <is>
          <t>DEEPTECH - Exergon</t>
        </is>
      </c>
      <c r="B19" s="6" t="inlineStr">
        <is>
          <t>Banque (haut de bilan)</t>
        </is>
      </c>
      <c r="C19" s="6" t="inlineStr">
        <is>
          <t>CREDIT MUTUEL INNOVATION, Daniel Baal</t>
        </is>
      </c>
      <c r="D19" s="6" t="inlineStr">
        <is>
          <t>Daniel Baal</t>
        </is>
      </c>
      <c r="E19" s="6" t="inlineStr">
        <is>
          <t>Romain Andrieu</t>
        </is>
      </c>
      <c r="F19" s="5" t="inlineStr">
        <is>
          <t>Aucune information sur échanges avec le prospect. Action à venir : Demande Parrainage Tibi 3. Nécessite une action : non. Prochaine étape : traiter la demande de parrainage.</t>
        </is>
      </c>
      <c r="G19" s="6" t="inlineStr">
        <is>
          <t>OK</t>
        </is>
      </c>
      <c r="H19" s="5" t="inlineStr">
        <is>
          <t>30/06/2026</t>
        </is>
      </c>
      <c r="I19" s="6" t="inlineStr">
        <is>
          <t>Demande Parrainage Tibi 3 à faire</t>
        </is>
      </c>
      <c r="J19" s="6">
        <f>ROUND(Z19/1000000,3)&amp;" M€"</f>
        <v/>
      </c>
      <c r="K19" s="6" t="inlineStr">
        <is>
          <t>10%</t>
        </is>
      </c>
      <c r="L19" s="5" t="inlineStr">
        <is>
          <t>Semaine passée</t>
        </is>
      </c>
      <c r="Z19" t="n">
        <v>0</v>
      </c>
    </row>
    <row r="20" ht="60" customHeight="1">
      <c r="A20" s="4" t="inlineStr">
        <is>
          <t>DEEPTECH - Exergon</t>
        </is>
      </c>
      <c r="B20" s="4" t="inlineStr">
        <is>
          <t>Banque (haut de bilan)</t>
        </is>
      </c>
      <c r="C20" s="4" t="inlineStr">
        <is>
          <t>CREDIT MUTUEL EQUITY, Emilie Lidome</t>
        </is>
      </c>
      <c r="D20" s="4" t="inlineStr">
        <is>
          <t>Emilie Lidome</t>
        </is>
      </c>
      <c r="E20" s="4" t="inlineStr">
        <is>
          <t>Romain Andrieu</t>
        </is>
      </c>
      <c r="F20" s="5" t="inlineStr">
        <is>
          <t>Aucune activité ni échange prospect. Piste créée pour équipe Ventes, aucun contact ou action réalisée. Prochaine étape : Demande Parrainage Tibi 3 à traiter, aucune date d'échéance renseignée.</t>
        </is>
      </c>
      <c r="G20" s="4" t="inlineStr">
        <is>
          <t>OK</t>
        </is>
      </c>
      <c r="H20" s="5" t="inlineStr">
        <is>
          <t>30/06/2026</t>
        </is>
      </c>
      <c r="I20" s="4" t="inlineStr">
        <is>
          <t>Demande Parrainage Tibi 3 à faire</t>
        </is>
      </c>
      <c r="J20" s="4">
        <f>ROUND(Z20/1000000,3)&amp;" M€"</f>
        <v/>
      </c>
      <c r="K20" s="4" t="inlineStr">
        <is>
          <t>10%</t>
        </is>
      </c>
      <c r="L20" s="5" t="inlineStr">
        <is>
          <t>Semaine passée</t>
        </is>
      </c>
      <c r="Z20" t="n">
        <v>0</v>
      </c>
    </row>
    <row r="21" ht="60" customHeight="1">
      <c r="A21" s="6" t="inlineStr">
        <is>
          <t>DEEPTECH - Exergon</t>
        </is>
      </c>
      <c r="B21" s="6" t="inlineStr">
        <is>
          <t>Fonds de fonds</t>
        </is>
      </c>
      <c r="C21" s="6" t="inlineStr">
        <is>
          <t>ARKEA AM FUNDS, Xavier Chapon</t>
        </is>
      </c>
      <c r="D21" s="6" t="inlineStr">
        <is>
          <t>Xavier Chapon</t>
        </is>
      </c>
      <c r="E21" s="6" t="inlineStr">
        <is>
          <t>Romain Andrieu</t>
        </is>
      </c>
      <c r="F21" s="5" t="inlineStr">
        <is>
          <t>Dernière action : relance proposition déjeuner Xavier Chapon prévue pour le 02/07/2026. Aucun retour prospect signalé à ce jour. Pas d'autres échanges ou actions récentes mentionnés dans les messages ou activités. Prochaine étape : attendre retour suite relance déjeuner.</t>
        </is>
      </c>
      <c r="G21" s="6" t="inlineStr">
        <is>
          <t>OK</t>
        </is>
      </c>
      <c r="H21" s="5" t="inlineStr">
        <is>
          <t>30/06/2026</t>
        </is>
      </c>
      <c r="I21" s="6" t="inlineStr">
        <is>
          <t>relance proposition déjeuner Xavier Chapon</t>
        </is>
      </c>
      <c r="J21" s="6">
        <f>ROUND(Z21/1000000,3)&amp;" M€"</f>
        <v/>
      </c>
      <c r="K21" s="6" t="inlineStr">
        <is>
          <t>30%</t>
        </is>
      </c>
      <c r="L21" s="5" t="inlineStr">
        <is>
          <t>Semaine passée</t>
        </is>
      </c>
      <c r="Z21" t="n">
        <v>0</v>
      </c>
    </row>
    <row r="22" ht="60" customHeight="1">
      <c r="A22" s="4" t="inlineStr">
        <is>
          <t>DEEPTECH - Exergon</t>
        </is>
      </c>
      <c r="B22" s="4" t="inlineStr">
        <is>
          <t>Assurance/Mutuelle</t>
        </is>
      </c>
      <c r="C22" s="4" t="inlineStr">
        <is>
          <t>BPCE ASSURANCES, Gerald NIOCHAUT</t>
        </is>
      </c>
      <c r="D22" s="4" t="inlineStr">
        <is>
          <t>Gerald NIOCHAUT</t>
        </is>
      </c>
      <c r="E22" s="4" t="inlineStr">
        <is>
          <t>Romain Andrieu</t>
        </is>
      </c>
      <c r="F22" s="5" t="inlineStr">
        <is>
          <t>Demande de parrainage Tibi 3 envoyée, relance à prévoir. Aucune réponse du prospect mentionnée à ce jour. Nouvelle piste créée pour l'équipe Ventes. Prochaine étape : relance à organiser. Dernière action notée : 25/06/2026. Aucun retour ni avis prospect enregistré pour l'instant.</t>
        </is>
      </c>
      <c r="G22" s="4" t="inlineStr">
        <is>
          <t>OK</t>
        </is>
      </c>
      <c r="H22" s="5" t="inlineStr">
        <is>
          <t>03/07/2026</t>
        </is>
      </c>
      <c r="I22" s="4" t="inlineStr">
        <is>
          <t>TIBI &lt;&gt; EXERGON / demande de parrainage via FLEXSTONE</t>
        </is>
      </c>
      <c r="J22" s="4">
        <f>ROUND(Z22/1000000,3)&amp;" M€"</f>
        <v/>
      </c>
      <c r="K22" s="4" t="inlineStr">
        <is>
          <t>10%</t>
        </is>
      </c>
      <c r="L22" s="5" t="inlineStr">
        <is>
          <t>Semaine passée</t>
        </is>
      </c>
      <c r="Z22" t="n">
        <v>0</v>
      </c>
    </row>
    <row r="23" ht="60" customHeight="1">
      <c r="A23" s="6" t="inlineStr">
        <is>
          <t>DEEPTECH - Exergon</t>
        </is>
      </c>
      <c r="B23" s="6" t="inlineStr">
        <is>
          <t>Corporate</t>
        </is>
      </c>
      <c r="C23" s="6" t="inlineStr">
        <is>
          <t>Mitsubishi Corporation, Takayushi Iwasaka</t>
        </is>
      </c>
      <c r="D23" s="6" t="inlineStr">
        <is>
          <t>Takayushi Iwasaka</t>
        </is>
      </c>
      <c r="E23" s="6" t="inlineStr">
        <is>
          <t>Romain Andrieu</t>
        </is>
      </c>
      <c r="F23" s="6" t="inlineStr">
        <is>
          <t>Aucune activité ou message significatif enregistré sur cette opportunité. CVC : font du direct mais aussi indirect. Aucun échange, action ou retour prospect identifié à ce jour. Pas de prochaine étape planifiée ni de conclusion ou avis prospect sur les fonds présentés.</t>
        </is>
      </c>
      <c r="G23" s="6" t="inlineStr">
        <is>
          <t>OK</t>
        </is>
      </c>
      <c r="H23" s="6" t="inlineStr">
        <is>
          <t>18/06/2026</t>
        </is>
      </c>
      <c r="I23" s="6" t="inlineStr"/>
      <c r="J23" s="6">
        <f>ROUND(Z23/1000000,3)&amp;" M€"</f>
        <v/>
      </c>
      <c r="K23" s="6" t="inlineStr">
        <is>
          <t>10%</t>
        </is>
      </c>
      <c r="L23" s="6" t="inlineStr">
        <is>
          <t>Autre</t>
        </is>
      </c>
      <c r="Z23" t="n">
        <v>0</v>
      </c>
    </row>
    <row r="24" ht="60" customHeight="1">
      <c r="A24" s="4" t="inlineStr">
        <is>
          <t>DEEPTECH - Exergon</t>
        </is>
      </c>
      <c r="B24" s="4" t="inlineStr">
        <is>
          <t>Assurance/Mutuelle</t>
        </is>
      </c>
      <c r="C24" s="4" t="inlineStr">
        <is>
          <t>GENERALI, Charles Kaeningeiser</t>
        </is>
      </c>
      <c r="D24" s="4" t="inlineStr">
        <is>
          <t>Charles Kaeningeiser</t>
        </is>
      </c>
      <c r="E24" s="4" t="inlineStr">
        <is>
          <t>Romain Andrieu</t>
        </is>
      </c>
      <c r="F24" s="5" t="inlineStr">
        <is>
          <t>Charles Kaeningeiser couvre LP AF2I/Wholesale, nouveau commercial en cours, François Verley pousse auprès du DG France mais pas d'accès au DG Philippe Deney. Nouvelle piste créée pour équipe Ventes. Prochaine étape fixée au 31/07/2026. Pas de retour prospect ni feedback concret identifié.</t>
        </is>
      </c>
      <c r="G24" s="4" t="inlineStr">
        <is>
          <t>OK</t>
        </is>
      </c>
      <c r="H24" s="5" t="inlineStr">
        <is>
          <t>30/06/2026</t>
        </is>
      </c>
      <c r="I24" s="4" t="inlineStr">
        <is>
          <t>Demande de parrainage Tibi 3 à faire</t>
        </is>
      </c>
      <c r="J24" s="4">
        <f>ROUND(Z24/1000000,3)&amp;" M€"</f>
        <v/>
      </c>
      <c r="K24" s="4" t="inlineStr">
        <is>
          <t>10%</t>
        </is>
      </c>
      <c r="L24" s="5" t="inlineStr">
        <is>
          <t>Semaine passée</t>
        </is>
      </c>
      <c r="Z24" t="n">
        <v>0</v>
      </c>
    </row>
    <row r="25" ht="60" customHeight="1">
      <c r="A25" s="6" t="inlineStr">
        <is>
          <t>DEEPTECH - Exergon</t>
        </is>
      </c>
      <c r="B25" s="6" t="inlineStr">
        <is>
          <t>Assurance/Mutuelle</t>
        </is>
      </c>
      <c r="C25" s="6" t="inlineStr">
        <is>
          <t>CARAC, Matthias Brochard</t>
        </is>
      </c>
      <c r="D25" s="6" t="inlineStr">
        <is>
          <t>Matthias Brochard</t>
        </is>
      </c>
      <c r="E25" s="6" t="inlineStr">
        <is>
          <t>Romain Andrieu</t>
        </is>
      </c>
      <c r="F25" s="5" t="inlineStr">
        <is>
          <t>Nouvelle piste créée pour l'équipe Ventes. Discussion sur fonds de dette (50m), arrivée de Selentia = 40 lignes à gérer, gestion par Estelle Kerenflec’h qui est sous l'eau. Aucun retour prospect, pas d'avis ni d'objection exprimés. Prochaine étape à échéance 31/07/2026.</t>
        </is>
      </c>
      <c r="G25" s="6" t="inlineStr">
        <is>
          <t>OK</t>
        </is>
      </c>
      <c r="H25" s="5" t="inlineStr">
        <is>
          <t>30/06/2026</t>
        </is>
      </c>
      <c r="I25" s="6" t="inlineStr">
        <is>
          <t>demande parrainage Tibi 3 à faire</t>
        </is>
      </c>
      <c r="J25" s="6">
        <f>ROUND(Z25/1000000,3)&amp;" M€"</f>
        <v/>
      </c>
      <c r="K25" s="6" t="inlineStr">
        <is>
          <t>10%</t>
        </is>
      </c>
      <c r="L25" s="5" t="inlineStr">
        <is>
          <t>Semaine passée</t>
        </is>
      </c>
      <c r="Z25" t="n">
        <v>0</v>
      </c>
    </row>
    <row r="26" ht="60" customHeight="1">
      <c r="A26" s="4" t="inlineStr">
        <is>
          <t>DEEPTECH - Exergon</t>
        </is>
      </c>
      <c r="B26" s="4" t="inlineStr">
        <is>
          <t>Association</t>
        </is>
      </c>
      <c r="C26" s="4" t="inlineStr">
        <is>
          <t>CAVP (Caisse de Retraîte des Pharmaciens), Arnaud LE ROMAIN</t>
        </is>
      </c>
      <c r="D26" s="4" t="inlineStr">
        <is>
          <t>Arnaud LE ROMAIN</t>
        </is>
      </c>
      <c r="E26" s="4" t="inlineStr">
        <is>
          <t>Romain Andrieu</t>
        </is>
      </c>
      <c r="F26" s="4" t="inlineStr">
        <is>
          <t>Aucune activité récente ou action suivie sur l’opportunité. Synthèse contexte prospect : AUM 9bn, 3 régimes, équipe réduite, historique PE depuis 2004, enveloppe PE réduite, préférence liquidité, plafond atteint, focus re-up, fonds généralistes privilégiés, incertitudes exit, souveraineté, peu d’acteurs.</t>
        </is>
      </c>
      <c r="G26" s="4" t="inlineStr">
        <is>
          <t>OK</t>
        </is>
      </c>
      <c r="H26" s="4" t="inlineStr">
        <is>
          <t>27/04/2026</t>
        </is>
      </c>
      <c r="I26" s="4" t="inlineStr"/>
      <c r="J26" s="4">
        <f>ROUND(Z26/1000000,3)&amp;" M€"</f>
        <v/>
      </c>
      <c r="K26" s="4" t="inlineStr">
        <is>
          <t>10%</t>
        </is>
      </c>
      <c r="L26" s="4" t="inlineStr">
        <is>
          <t>Autre</t>
        </is>
      </c>
      <c r="Z26" t="n">
        <v>0</v>
      </c>
    </row>
    <row r="27" ht="60" customHeight="1">
      <c r="A27" s="6" t="inlineStr">
        <is>
          <t>DEEPTECH - Exergon</t>
        </is>
      </c>
      <c r="B27" s="6" t="inlineStr">
        <is>
          <t>Corporate</t>
        </is>
      </c>
      <c r="C27" s="6" t="inlineStr">
        <is>
          <t>Total Energies, Aurélien Hame</t>
        </is>
      </c>
      <c r="D27" s="6" t="inlineStr">
        <is>
          <t>Aurélien Hame</t>
        </is>
      </c>
      <c r="E27" s="6" t="inlineStr">
        <is>
          <t>Romain Andrieu</t>
        </is>
      </c>
      <c r="F27" s="6" t="inlineStr">
        <is>
          <t>15/06 : consigne aller voir Aurélien Hame, pas d'autres infos ou retours prospects, aucune activité ou échange supplémentaire enregistré, aucune prochaine étape planifiée, pas de suivi sur fonds présentés ni avis prospect. Aucun historique d'activité détaillé ou contexte de création de piste mentionné.</t>
        </is>
      </c>
      <c r="G27" s="6" t="inlineStr">
        <is>
          <t>OK</t>
        </is>
      </c>
      <c r="H27" s="6" t="inlineStr">
        <is>
          <t>27/04/2026</t>
        </is>
      </c>
      <c r="I27" s="6" t="inlineStr"/>
      <c r="J27" s="6">
        <f>ROUND(Z27/1000000,3)&amp;" M€"</f>
        <v/>
      </c>
      <c r="K27" s="6" t="inlineStr">
        <is>
          <t>10%</t>
        </is>
      </c>
      <c r="L27" s="6" t="inlineStr">
        <is>
          <t>Autre</t>
        </is>
      </c>
      <c r="Z27" t="n">
        <v>0</v>
      </c>
    </row>
    <row r="28" ht="60" customHeight="1">
      <c r="A28" s="4" t="inlineStr">
        <is>
          <t>DEEPTECH - Exergon</t>
        </is>
      </c>
      <c r="B28" s="4" t="inlineStr">
        <is>
          <t>Assurance/Mutuelle</t>
        </is>
      </c>
      <c r="C28" s="4" t="inlineStr">
        <is>
          <t>AG2R La Mondiale, Thomas Rivron</t>
        </is>
      </c>
      <c r="D28" s="4" t="inlineStr">
        <is>
          <t>Thomas Rivron</t>
        </is>
      </c>
      <c r="E28" s="4" t="inlineStr">
        <is>
          <t>Romain Andrieu</t>
        </is>
      </c>
      <c r="F28" s="5" t="inlineStr">
        <is>
          <t>10 M€ investis dans EMERGENCE. Vigilance sur frais fixes Audacia, demande sur flexibilité, solidité et rentabilité du gérant. Questions sur cyber, compliance, GP commit, pérennité SGP. Reco : allocation plus fine, focus défense, montée en gamme Audrey Vormus, approche dynamique. Prochaine étape : deadline 31/07/2026.</t>
        </is>
      </c>
      <c r="G28" s="4" t="inlineStr">
        <is>
          <t>OK</t>
        </is>
      </c>
      <c r="H28" s="5" t="inlineStr">
        <is>
          <t>30/06/2026</t>
        </is>
      </c>
      <c r="I28" s="4" t="inlineStr">
        <is>
          <t>Demande de parrainage Tibi 3 à faire</t>
        </is>
      </c>
      <c r="J28" s="4">
        <f>ROUND(Z28/1000000,3)&amp;" M€"</f>
        <v/>
      </c>
      <c r="K28" s="4" t="inlineStr">
        <is>
          <t>10%</t>
        </is>
      </c>
      <c r="L28" s="5" t="inlineStr">
        <is>
          <t>Semaine passée</t>
        </is>
      </c>
      <c r="Z28" t="n">
        <v>0</v>
      </c>
    </row>
    <row r="29" ht="60" customHeight="1">
      <c r="A29" s="6" t="inlineStr">
        <is>
          <t>DEEPTECH - Exergon</t>
        </is>
      </c>
      <c r="B29" s="6" t="inlineStr">
        <is>
          <t>Assurance/Mutuelle</t>
        </is>
      </c>
      <c r="C29" s="6" t="inlineStr">
        <is>
          <t>ALLIANZ FRANCE, Guillaume Collet</t>
        </is>
      </c>
      <c r="D29" s="6" t="inlineStr">
        <is>
          <t>Guillaume Collet</t>
        </is>
      </c>
      <c r="E29" s="6" t="inlineStr">
        <is>
          <t>Romain Andrieu</t>
        </is>
      </c>
      <c r="F29" s="5" t="inlineStr">
        <is>
          <t>Contact Allianz : investissements bloqués, Venture trop important (15% non-coté), Martine Legendre quitte, remplacée par Thomas Collet. Allianz réduit le PE, privilégie local, alternatifs 10% bilan, innovation ciblée TIBI 2 uniquement. Intérêt croissant ETF, fournisseur externe. Pas d'action récente notée.</t>
        </is>
      </c>
      <c r="G29" s="6" t="inlineStr">
        <is>
          <t>OK</t>
        </is>
      </c>
      <c r="H29" s="5" t="inlineStr">
        <is>
          <t>30/06/2026</t>
        </is>
      </c>
      <c r="I29" s="6" t="inlineStr">
        <is>
          <t>demande de parrainage Tibi 3 à faire</t>
        </is>
      </c>
      <c r="J29" s="6">
        <f>ROUND(Z29/1000000,3)&amp;" M€"</f>
        <v/>
      </c>
      <c r="K29" s="6" t="inlineStr">
        <is>
          <t>10%</t>
        </is>
      </c>
      <c r="L29" s="5" t="inlineStr">
        <is>
          <t>Semaine passée &amp; à venir</t>
        </is>
      </c>
      <c r="Z29" t="n">
        <v>0</v>
      </c>
    </row>
    <row r="30" ht="60" customHeight="1">
      <c r="A30" s="4" t="inlineStr">
        <is>
          <t>DEEPTECH - Exergon</t>
        </is>
      </c>
      <c r="B30" s="4" t="inlineStr">
        <is>
          <t>Caisse de retraite/Institution de prévoyance</t>
        </is>
      </c>
      <c r="C30" s="4" t="inlineStr">
        <is>
          <t>CARMF (Caisse autonome de retraite des médecins de France), Arnaud AMBERNY</t>
        </is>
      </c>
      <c r="D30" s="4" t="inlineStr">
        <is>
          <t>Arnaud AMBERNY</t>
        </is>
      </c>
      <c r="E30" s="4" t="inlineStr">
        <is>
          <t>Romain Andrieu</t>
        </is>
      </c>
      <c r="F30" s="4" t="inlineStr">
        <is>
          <t>Carmf, 27/04/26 : Vauban gère taux, Embernie l’equity. Relance à prévoir, max 5% AUM, diversification, vente actifs liquides prioritaire, PE buy &amp; hold, pas de VC/PE nouveaux, 9 ans avant reprise réserves, AUM min 2,5bn. Prospects prudents, pas d’ouverture immédiate. Aucune activité récente autre.</t>
        </is>
      </c>
      <c r="G30" s="4" t="inlineStr">
        <is>
          <t>OK</t>
        </is>
      </c>
      <c r="H30" s="4" t="inlineStr">
        <is>
          <t>27/04/2026</t>
        </is>
      </c>
      <c r="I30" s="4" t="inlineStr"/>
      <c r="J30" s="4">
        <f>ROUND(Z30/1000000,3)&amp;" M€"</f>
        <v/>
      </c>
      <c r="K30" s="4" t="inlineStr">
        <is>
          <t>0%</t>
        </is>
      </c>
      <c r="L30" s="4" t="inlineStr">
        <is>
          <t>Autre</t>
        </is>
      </c>
      <c r="Z30" t="n">
        <v>0</v>
      </c>
    </row>
    <row r="31" ht="60" customHeight="1">
      <c r="A31" s="6" t="inlineStr">
        <is>
          <t>DEEPTECH - Exergon</t>
        </is>
      </c>
      <c r="B31" s="6" t="inlineStr">
        <is>
          <t>Assurance/Mutuelle</t>
        </is>
      </c>
      <c r="C31" s="6" t="inlineStr">
        <is>
          <t>ARUNDO RE, Sébastien Jallet</t>
        </is>
      </c>
      <c r="D31" s="6" t="inlineStr">
        <is>
          <t>Sébastien Jallet</t>
        </is>
      </c>
      <c r="E31" s="6" t="inlineStr">
        <is>
          <t>Romain Andrieu</t>
        </is>
      </c>
      <c r="F31" s="6" t="inlineStr">
        <is>
          <t>Contact établi, prospect désormais intégré au groupe SMA BTP, Sébastien Jallet n’a plus de fonction opérationnelle, toutes les décisions et échanges passent désormais par SMABTP. Aucune activité ou action future planifiée à ce jour, pas de retour sur fonds présentés ni de prochaine étape identifiée.</t>
        </is>
      </c>
      <c r="G31" s="6" t="inlineStr">
        <is>
          <t>KO</t>
        </is>
      </c>
      <c r="H31" s="6" t="inlineStr">
        <is>
          <t>10/02/2026</t>
        </is>
      </c>
      <c r="I31" s="6" t="inlineStr"/>
      <c r="J31" s="6">
        <f>ROUND(Z31/1000000,3)&amp;" M€"</f>
        <v/>
      </c>
      <c r="K31" s="6" t="inlineStr">
        <is>
          <t>0%</t>
        </is>
      </c>
      <c r="L31" s="6" t="inlineStr">
        <is>
          <t>Autre</t>
        </is>
      </c>
      <c r="Z31" t="n">
        <v>0</v>
      </c>
    </row>
    <row r="32" ht="60" customHeight="1">
      <c r="A32" s="4" t="inlineStr">
        <is>
          <t>DEEPTECH - Exergon</t>
        </is>
      </c>
      <c r="B32" s="4" t="inlineStr">
        <is>
          <t>Caisse de retraite/Institution de prévoyance</t>
        </is>
      </c>
      <c r="C32" s="4" t="inlineStr">
        <is>
          <t>IRCANTEC, Sandra Bernard-Colinet</t>
        </is>
      </c>
      <c r="D32" s="4" t="inlineStr">
        <is>
          <t>Sandra Bernard-Colinet</t>
        </is>
      </c>
      <c r="E32" s="4" t="inlineStr">
        <is>
          <t>Romain Andrieu</t>
        </is>
      </c>
      <c r="F32" s="4" t="inlineStr">
        <is>
          <t>Nouvelle piste créée pour équipe Ventes. Dernière action : message "À relancer". Aucun échange détaillé, pas d'activité enregistrée, aucune interaction ou retour prospect mentionné. Prochaine étape : relance à prévoir. Pas d'autres actions ou conclusions notables à ce stade.</t>
        </is>
      </c>
      <c r="G32" s="4" t="inlineStr">
        <is>
          <t>OK</t>
        </is>
      </c>
      <c r="H32" s="4" t="inlineStr">
        <is>
          <t>27/04/2026</t>
        </is>
      </c>
      <c r="I32" s="4" t="inlineStr"/>
      <c r="J32" s="4">
        <f>ROUND(Z32/1000000,3)&amp;" M€"</f>
        <v/>
      </c>
      <c r="K32" s="4" t="inlineStr">
        <is>
          <t>10%</t>
        </is>
      </c>
      <c r="L32" s="4" t="inlineStr">
        <is>
          <t>Autre</t>
        </is>
      </c>
      <c r="Z32" t="n">
        <v>0</v>
      </c>
    </row>
    <row r="33" ht="60" customHeight="1">
      <c r="A33" s="6" t="inlineStr">
        <is>
          <t>DEEPTECH - Exergon</t>
        </is>
      </c>
      <c r="B33" s="6" t="inlineStr">
        <is>
          <t>Assurance/Mutuelle</t>
        </is>
      </c>
      <c r="C33" s="6" t="inlineStr">
        <is>
          <t>FRR - Fonds de Réserve pour les Retraites, Victoire Costa de Beauregard</t>
        </is>
      </c>
      <c r="D33" s="6" t="inlineStr">
        <is>
          <t>Victoire Costa de Beauregard</t>
        </is>
      </c>
      <c r="E33" s="6" t="inlineStr">
        <is>
          <t>Romain Andrieu</t>
        </is>
      </c>
      <c r="F33" s="5" t="inlineStr">
        <is>
          <t>FRR : pas de parrainage Tibi. Mandat en cours de sélection sur fonds similaires. Résultats 2025 : +9,06% portefeuille, +0,9% annualisé (actions renforcées depuis juin 2024). Création de valeur : +15,6 Md€, hausse 1,5 Md€. 100 M€ redéployés PME/ETI, 500 M€ engagés non coté. Pas d'autres retours prospect.</t>
        </is>
      </c>
      <c r="G33" s="6" t="inlineStr">
        <is>
          <t>OK</t>
        </is>
      </c>
      <c r="H33" s="5" t="inlineStr">
        <is>
          <t>02/07/2026</t>
        </is>
      </c>
      <c r="I33" s="6" t="inlineStr"/>
      <c r="J33" s="6">
        <f>ROUND(Z33/1000000,3)&amp;" M€"</f>
        <v/>
      </c>
      <c r="K33" s="6" t="inlineStr">
        <is>
          <t>10%</t>
        </is>
      </c>
      <c r="L33" s="5" t="inlineStr">
        <is>
          <t>Semaine passée</t>
        </is>
      </c>
      <c r="Z33" t="n">
        <v>0</v>
      </c>
    </row>
    <row r="34" ht="60" customHeight="1">
      <c r="A34" s="4" t="inlineStr">
        <is>
          <t>DEEPTECH - Exergon</t>
        </is>
      </c>
      <c r="B34" s="4" t="inlineStr">
        <is>
          <t>Société de gestion</t>
        </is>
      </c>
      <c r="C34" s="4" t="inlineStr">
        <is>
          <t>PREVAAL FINANCE, Hugo CEBRIANO</t>
        </is>
      </c>
      <c r="D34" s="4" t="inlineStr">
        <is>
          <t>Hugo CEBRIANO</t>
        </is>
      </c>
      <c r="E34" s="4" t="inlineStr">
        <is>
          <t>Romain Andrieu</t>
        </is>
      </c>
      <c r="F34" s="4" t="inlineStr">
        <is>
          <t>Prospect contacté, retour négatif : pas d’intérêt pour les sujets VC, y compris Nouveau nucléaire. Aucun échange ou activité complémentaire relevé. Pas de prochaines actions prévues, dossier à considérer comme non prioritaire sauf nouvel élément.</t>
        </is>
      </c>
      <c r="G34" s="4" t="inlineStr">
        <is>
          <t>KO</t>
        </is>
      </c>
      <c r="H34" s="4" t="inlineStr">
        <is>
          <t>28/04/2026</t>
        </is>
      </c>
      <c r="I34" s="4" t="inlineStr"/>
      <c r="J34" s="4">
        <f>ROUND(Z34/1000000,3)&amp;" M€"</f>
        <v/>
      </c>
      <c r="K34" s="4" t="inlineStr">
        <is>
          <t>0%</t>
        </is>
      </c>
      <c r="L34" s="4" t="inlineStr">
        <is>
          <t>Autre</t>
        </is>
      </c>
      <c r="Z34" t="n">
        <v>0</v>
      </c>
    </row>
    <row r="35" ht="60" customHeight="1">
      <c r="A35" s="6" t="inlineStr">
        <is>
          <t>DEEPTECH - Exergon</t>
        </is>
      </c>
      <c r="B35" s="6" t="inlineStr">
        <is>
          <t>Assurance/Mutuelle</t>
        </is>
      </c>
      <c r="C35" s="6" t="inlineStr">
        <is>
          <t>OPTIMUM, Pierre Bourdeau</t>
        </is>
      </c>
      <c r="D35" s="6" t="inlineStr">
        <is>
          <t>Pierre Bourdeau</t>
        </is>
      </c>
      <c r="E35" s="6" t="inlineStr">
        <is>
          <t>Romain Andrieu</t>
        </is>
      </c>
      <c r="F35" s="6" t="inlineStr">
        <is>
          <t>Prospect ne fait pas de PE, n’en fera pas. Activités pilotées depuis le Canada, 400 M€ AUM, actionnaire principal CDPQ. Recommandation : contacter Citywire. Aucune activité ou suivi supplémentaire enregistré, pas d’étape à venir identifiée dans les échanges récents.</t>
        </is>
      </c>
      <c r="G35" s="6" t="inlineStr">
        <is>
          <t>KO</t>
        </is>
      </c>
      <c r="H35" s="6" t="inlineStr">
        <is>
          <t>27/04/2026</t>
        </is>
      </c>
      <c r="I35" s="6" t="inlineStr"/>
      <c r="J35" s="6">
        <f>ROUND(Z35/1000000,3)&amp;" M€"</f>
        <v/>
      </c>
      <c r="K35" s="6" t="inlineStr">
        <is>
          <t>0%</t>
        </is>
      </c>
      <c r="L35" s="6" t="inlineStr">
        <is>
          <t>Autre</t>
        </is>
      </c>
      <c r="Z35" t="n">
        <v>0</v>
      </c>
    </row>
    <row r="36" ht="60" customHeight="1">
      <c r="A36" s="4" t="inlineStr">
        <is>
          <t>DEEPTECH - Exergon</t>
        </is>
      </c>
      <c r="B36" s="4" t="inlineStr">
        <is>
          <t>Caisse de retraite/Institution de prévoyance</t>
        </is>
      </c>
      <c r="C36" s="4" t="inlineStr">
        <is>
          <t>MUTEX, Loic BEAUMONT</t>
        </is>
      </c>
      <c r="D36" s="4" t="inlineStr">
        <is>
          <t>Loic BEAUMONT</t>
        </is>
      </c>
      <c r="E36" s="4" t="inlineStr">
        <is>
          <t>Romain Andrieu</t>
        </is>
      </c>
      <c r="F36" s="4" t="inlineStr">
        <is>
          <t>Fusion en cours avec HARMONIE et UMR. MUTEX hors scope VC. Aucun retour prospect sur fonds présentés. Pas d'activité récente ni prochaine action planifiée. Aucun échange ou suivi complémentaire enregistré. Situation figée, attente d'évolution fusion, pas d'ouverture identifiée côté prospect.</t>
        </is>
      </c>
      <c r="G36" s="4" t="inlineStr">
        <is>
          <t>KO</t>
        </is>
      </c>
      <c r="H36" s="4" t="inlineStr">
        <is>
          <t>27/04/2026</t>
        </is>
      </c>
      <c r="I36" s="4" t="inlineStr"/>
      <c r="J36" s="4">
        <f>ROUND(Z36/1000000,3)&amp;" M€"</f>
        <v/>
      </c>
      <c r="K36" s="4" t="inlineStr">
        <is>
          <t>0%</t>
        </is>
      </c>
      <c r="L36" s="4" t="inlineStr">
        <is>
          <t>Autre</t>
        </is>
      </c>
      <c r="Z36" t="n">
        <v>0</v>
      </c>
    </row>
    <row r="37" ht="60" customHeight="1">
      <c r="A37" s="6" t="inlineStr">
        <is>
          <t>DEEPTECH - Exergon</t>
        </is>
      </c>
      <c r="B37" s="6" t="inlineStr">
        <is>
          <t>Assurance/Mutuelle</t>
        </is>
      </c>
      <c r="C37" s="6" t="inlineStr">
        <is>
          <t>RELYENS - SHAM - SOFAXIS, Sandrine PERNETTE</t>
        </is>
      </c>
      <c r="D37" s="6" t="inlineStr">
        <is>
          <t>Sandrine PERNETTE</t>
        </is>
      </c>
      <c r="E37" s="6" t="inlineStr">
        <is>
          <t>Romain Andrieu</t>
        </is>
      </c>
      <c r="F37" s="6" t="inlineStr">
        <is>
          <t>RDV Deauville 27/04/2026 avec Sandrine Pernette et Thomas Monnet (Relyens). Intérêt pour fonds SFDR9, focus santé/impact environnemental, refus défense/nucléaire. Recherche immo secteur santé Lyon. Pas d'autres activités ou prochaines actions renseignées à ce jour.</t>
        </is>
      </c>
      <c r="G37" s="6" t="inlineStr">
        <is>
          <t>KO</t>
        </is>
      </c>
      <c r="H37" s="6" t="inlineStr">
        <is>
          <t>27/04/2026</t>
        </is>
      </c>
      <c r="I37" s="6" t="inlineStr"/>
      <c r="J37" s="6">
        <f>ROUND(Z37/1000000,3)&amp;" M€"</f>
        <v/>
      </c>
      <c r="K37" s="6" t="inlineStr">
        <is>
          <t>0%</t>
        </is>
      </c>
      <c r="L37" s="6" t="inlineStr">
        <is>
          <t>Autre</t>
        </is>
      </c>
      <c r="Z37" t="n">
        <v>0</v>
      </c>
    </row>
    <row r="38" ht="60" customHeight="1">
      <c r="A38" s="4" t="inlineStr">
        <is>
          <t>DEEPTECH - Exergon</t>
        </is>
      </c>
      <c r="B38" s="4" t="inlineStr">
        <is>
          <t>Corporate</t>
        </is>
      </c>
      <c r="C38" s="4" t="inlineStr">
        <is>
          <t>YARA, Stian Nygaard</t>
        </is>
      </c>
      <c r="D38" s="4" t="inlineStr">
        <is>
          <t>Stian Nygaard</t>
        </is>
      </c>
      <c r="E38" s="4" t="inlineStr">
        <is>
          <t>Romain Andrieu</t>
        </is>
      </c>
      <c r="F38" s="4" t="inlineStr">
        <is>
          <t>RDV à Oslo, prospect fonds aux IUS, pas d'intérêt pour nos fonds VC, retour négatif confirmé, échec. Aucun suivi ou activité supplémentaire enregistrée, aucune prochaine étape prévue. Aucun contexte de création de piste mentionné. Pas d'autres échanges ou actions récentes.</t>
        </is>
      </c>
      <c r="G38" s="4" t="inlineStr">
        <is>
          <t>KO</t>
        </is>
      </c>
      <c r="H38" s="4" t="inlineStr">
        <is>
          <t>08/05/2025</t>
        </is>
      </c>
      <c r="I38" s="4" t="inlineStr"/>
      <c r="J38" s="4">
        <f>ROUND(Z38/1000000,3)&amp;" M€"</f>
        <v/>
      </c>
      <c r="K38" s="4" t="inlineStr">
        <is>
          <t>0%</t>
        </is>
      </c>
      <c r="L38" s="4" t="inlineStr">
        <is>
          <t>Autre</t>
        </is>
      </c>
      <c r="Z38" t="n">
        <v>0</v>
      </c>
    </row>
    <row r="39" ht="60" customHeight="1">
      <c r="A39" s="6" t="inlineStr">
        <is>
          <t>DEEPTECH - Exergon</t>
        </is>
      </c>
      <c r="B39" s="6" t="inlineStr">
        <is>
          <t>Corporate</t>
        </is>
      </c>
      <c r="C39" s="6" t="inlineStr">
        <is>
          <t>Vinci, Antoine Larousse</t>
        </is>
      </c>
      <c r="D39" s="6" t="inlineStr">
        <is>
          <t>Antoine Larousse</t>
        </is>
      </c>
      <c r="E39" s="6" t="inlineStr">
        <is>
          <t>Romain Andrieu</t>
        </is>
      </c>
      <c r="F39" s="6" t="inlineStr">
        <is>
          <t>Aucune activité menée sur le prospect. Aucun échange, appel ou action enregistrée. Aucun retour ni conclusion de la part du prospect sur les fonds présentés. Aucun suivi ou prochaine étape planifiée. Adresse email non valide, enrichissement lead impossible. Pas d'information sur le contexte de création de la piste.</t>
        </is>
      </c>
      <c r="G39" s="6" t="inlineStr">
        <is>
          <t>KO</t>
        </is>
      </c>
      <c r="H39" s="6" t="inlineStr">
        <is>
          <t>12/05/2025</t>
        </is>
      </c>
      <c r="I39" s="6" t="inlineStr"/>
      <c r="J39" s="6">
        <f>ROUND(Z39/1000000,3)&amp;" M€"</f>
        <v/>
      </c>
      <c r="K39" s="6" t="inlineStr">
        <is>
          <t>0%</t>
        </is>
      </c>
      <c r="L39" s="6" t="inlineStr">
        <is>
          <t>Autre</t>
        </is>
      </c>
      <c r="Z39" t="n">
        <v>0</v>
      </c>
    </row>
    <row r="40" ht="60" customHeight="1">
      <c r="A40" s="4" t="inlineStr">
        <is>
          <t>DEEPTECH - Exergon</t>
        </is>
      </c>
      <c r="B40" s="4" t="inlineStr">
        <is>
          <t>Corporate</t>
        </is>
      </c>
      <c r="C40" s="4" t="inlineStr">
        <is>
          <t>Vestel, Nisa Akgun</t>
        </is>
      </c>
      <c r="D40" s="4" t="inlineStr">
        <is>
          <t>Nisa Akgun</t>
        </is>
      </c>
      <c r="E40" s="4" t="inlineStr">
        <is>
          <t>Romain Andrieu</t>
        </is>
      </c>
      <c r="F40" s="4" t="inlineStr">
        <is>
          <t>Nisa intéressé, demande infos sur Exergon/Expansion (22/08/24), call prévu fin sept, RDV 04/10, doc envoyée 07/10, NDA 10/10, doc complémentaire 16/10, clarification LPs 24/10, rencontre managing partner proposée 05/11, demande visio. Pas de retour négatif, échanges actifs, prochaines étapes : visio à planifier.</t>
        </is>
      </c>
      <c r="G40" s="4" t="inlineStr">
        <is>
          <t>KO</t>
        </is>
      </c>
      <c r="H40" s="4" t="inlineStr">
        <is>
          <t>12/12/2024</t>
        </is>
      </c>
      <c r="I40" s="4" t="inlineStr"/>
      <c r="J40" s="4">
        <f>ROUND(Z40/1000000,3)&amp;" M€"</f>
        <v/>
      </c>
      <c r="K40" s="4" t="inlineStr">
        <is>
          <t>0%</t>
        </is>
      </c>
      <c r="L40" s="4" t="inlineStr">
        <is>
          <t>Autre</t>
        </is>
      </c>
      <c r="Z40" t="n">
        <v>0</v>
      </c>
    </row>
    <row r="41" ht="60" customHeight="1">
      <c r="A41" s="6" t="inlineStr">
        <is>
          <t>DEEPTECH - Exergon</t>
        </is>
      </c>
      <c r="B41" s="6" t="inlineStr">
        <is>
          <t>Holding</t>
        </is>
      </c>
      <c r="C41" s="6" t="inlineStr">
        <is>
          <t>Vertex Holdings (Temasek), Clifton SIM</t>
        </is>
      </c>
      <c r="D41" s="6" t="inlineStr">
        <is>
          <t>Clifton SIM</t>
        </is>
      </c>
      <c r="E41" s="6" t="inlineStr">
        <is>
          <t>Romain Andrieu</t>
        </is>
      </c>
      <c r="F41" s="6" t="inlineStr">
        <is>
          <t>Branche VC Temasek, déjà investi Extansia. Demande de call envoyée le 12/07 pour échange cet été, attente retour. Update prévu le 26/07. Pas de retour prospect à ce stade sur fonds présentés. Aucune activité complémentaire enregistrée, prochaines étapes : attendre réponse pour call.</t>
        </is>
      </c>
      <c r="G41" s="6" t="inlineStr">
        <is>
          <t>KO</t>
        </is>
      </c>
      <c r="H41" s="6" t="inlineStr">
        <is>
          <t>04/12/2024</t>
        </is>
      </c>
      <c r="I41" s="6" t="inlineStr"/>
      <c r="J41" s="6">
        <f>ROUND(Z41/1000000,3)&amp;" M€"</f>
        <v/>
      </c>
      <c r="K41" s="6" t="inlineStr">
        <is>
          <t>0%</t>
        </is>
      </c>
      <c r="L41" s="6" t="inlineStr">
        <is>
          <t>Autre</t>
        </is>
      </c>
      <c r="Z41" t="n">
        <v>0</v>
      </c>
    </row>
    <row r="42" ht="60" customHeight="1">
      <c r="A42" s="4" t="inlineStr">
        <is>
          <t>DEEPTECH - Exergon</t>
        </is>
      </c>
      <c r="B42" s="4" t="inlineStr">
        <is>
          <t>Corporate</t>
        </is>
      </c>
      <c r="C42" s="4" t="inlineStr">
        <is>
          <t>TEN, Julien Grelet</t>
        </is>
      </c>
      <c r="D42" s="4" t="inlineStr">
        <is>
          <t>Julien Grelet</t>
        </is>
      </c>
      <c r="E42" s="4" t="inlineStr">
        <is>
          <t>Romain Andrieu</t>
        </is>
      </c>
      <c r="F42" s="4" t="inlineStr">
        <is>
          <t>Stratégie Groupe : acquisitions pour élargir techno/services TPS, focus marchés recyclage, décarbonation, capture carbone, nucléaire, procédés miniers. Intérêt marqué pour nucléaire, surtout SMR. M&amp;A (Stellaria...) pour siège board et vision marché. Pas d'autres actions ou retours récents.</t>
        </is>
      </c>
      <c r="G42" s="4" t="inlineStr">
        <is>
          <t>OK</t>
        </is>
      </c>
      <c r="H42" s="4" t="inlineStr">
        <is>
          <t>28/11/2025</t>
        </is>
      </c>
      <c r="I42" s="4" t="inlineStr"/>
      <c r="J42" s="4">
        <f>ROUND(Z42/1000000,3)&amp;" M€"</f>
        <v/>
      </c>
      <c r="K42" s="4" t="inlineStr">
        <is>
          <t>0%</t>
        </is>
      </c>
      <c r="L42" s="4" t="inlineStr">
        <is>
          <t>Autre</t>
        </is>
      </c>
      <c r="Z42" t="n">
        <v>0</v>
      </c>
    </row>
    <row r="43" ht="60" customHeight="1">
      <c r="A43" s="6" t="inlineStr">
        <is>
          <t>DEEPTECH - Exergon</t>
        </is>
      </c>
      <c r="B43" s="6" t="inlineStr">
        <is>
          <t>Fonds de fonds</t>
        </is>
      </c>
      <c r="C43" s="6" t="inlineStr">
        <is>
          <t>Suma Capital, Marc Fornell</t>
        </is>
      </c>
      <c r="D43" s="6" t="inlineStr">
        <is>
          <t>Marc Fornell</t>
        </is>
      </c>
      <c r="E43" s="6" t="inlineStr">
        <is>
          <t>Romain Andrieu</t>
        </is>
      </c>
      <c r="F43" s="6" t="inlineStr">
        <is>
          <t>Aucune activité menée sur le prospect. Aucun échange, appel ou action enregistrée. Email non valide, enrichissement impossible. Pas de retour ni d'analyse sur les fonds présentés, aucune prochaine étape identifiée. Aucun contexte de création de la piste mentionné.</t>
        </is>
      </c>
      <c r="G43" s="6" t="inlineStr">
        <is>
          <t>OK</t>
        </is>
      </c>
      <c r="H43" s="6" t="inlineStr">
        <is>
          <t>25/11/2024</t>
        </is>
      </c>
      <c r="I43" s="6" t="inlineStr"/>
      <c r="J43" s="6">
        <f>ROUND(Z43/1000000,3)&amp;" M€"</f>
        <v/>
      </c>
      <c r="K43" s="6" t="inlineStr">
        <is>
          <t>0%</t>
        </is>
      </c>
      <c r="L43" s="6" t="inlineStr">
        <is>
          <t>Autre</t>
        </is>
      </c>
      <c r="Z43" t="n">
        <v>0</v>
      </c>
    </row>
    <row r="44" ht="60" customHeight="1">
      <c r="A44" s="4" t="inlineStr">
        <is>
          <t>DEEPTECH - Exergon</t>
        </is>
      </c>
      <c r="B44" s="4" t="inlineStr">
        <is>
          <t>Société de gestion</t>
        </is>
      </c>
      <c r="C44" s="4" t="inlineStr">
        <is>
          <t>stepstone, Peter</t>
        </is>
      </c>
      <c r="D44" s="4" t="inlineStr">
        <is>
          <t>Peter</t>
        </is>
      </c>
      <c r="E44" s="4" t="inlineStr">
        <is>
          <t>Romain Andrieu</t>
        </is>
      </c>
      <c r="F44" s="4" t="inlineStr">
        <is>
          <t>Prospect contacté, retour reçu : "Pas interessé". Aucun échange ou activité complémentaire, pas d'action planifiée, ni de suite à donner. Aucun retour positif ou ouverture détectée, aucune prochaine étape identifiée. Opportunité à classer sans suite sauf nouvel élément.</t>
        </is>
      </c>
      <c r="G44" s="4" t="inlineStr">
        <is>
          <t>KO</t>
        </is>
      </c>
      <c r="H44" s="4" t="inlineStr">
        <is>
          <t>04/06/2025</t>
        </is>
      </c>
      <c r="I44" s="4" t="inlineStr"/>
      <c r="J44" s="4">
        <f>ROUND(Z44/1000000,3)&amp;" M€"</f>
        <v/>
      </c>
      <c r="K44" s="4" t="inlineStr">
        <is>
          <t>0%</t>
        </is>
      </c>
      <c r="L44" s="4" t="inlineStr">
        <is>
          <t>Autre</t>
        </is>
      </c>
      <c r="Z44" t="n">
        <v>0</v>
      </c>
    </row>
    <row r="45" ht="60" customHeight="1">
      <c r="A45" s="6" t="inlineStr">
        <is>
          <t>DEEPTECH - Exergon</t>
        </is>
      </c>
      <c r="B45" s="6" t="inlineStr">
        <is>
          <t>Corporate</t>
        </is>
      </c>
      <c r="C45" s="6" t="inlineStr">
        <is>
          <t>Starkraft Venture, Alexander Kueppers</t>
        </is>
      </c>
      <c r="D45" s="6" t="inlineStr">
        <is>
          <t>Alexander Kueppers</t>
        </is>
      </c>
      <c r="E45" s="6" t="inlineStr">
        <is>
          <t>Romain Andrieu</t>
        </is>
      </c>
      <c r="F45" s="6" t="inlineStr">
        <is>
          <t>Contact prospect le 09/06, retour prospect : pas intéressé. Tentative d’enrichissement lead impossible (email invalide). Aucun échange ou activité complémentaire détecté. Pas de prochaine action prévue, dossier à l’arrêt faute d’intérêt prospect et de données exploitables.</t>
        </is>
      </c>
      <c r="G45" s="6" t="inlineStr">
        <is>
          <t>KO</t>
        </is>
      </c>
      <c r="H45" s="6" t="inlineStr">
        <is>
          <t>10/10/2025</t>
        </is>
      </c>
      <c r="I45" s="6" t="inlineStr"/>
      <c r="J45" s="6">
        <f>ROUND(Z45/1000000,3)&amp;" M€"</f>
        <v/>
      </c>
      <c r="K45" s="6" t="inlineStr">
        <is>
          <t>0%</t>
        </is>
      </c>
      <c r="L45" s="6" t="inlineStr">
        <is>
          <t>Autre</t>
        </is>
      </c>
      <c r="Z45" t="n">
        <v>0</v>
      </c>
    </row>
    <row r="46" ht="60" customHeight="1">
      <c r="A46" s="4" t="inlineStr">
        <is>
          <t>DEEPTECH - Exergon</t>
        </is>
      </c>
      <c r="B46" s="4" t="inlineStr">
        <is>
          <t>Corporate</t>
        </is>
      </c>
      <c r="C46" s="4" t="inlineStr">
        <is>
          <t>ST Engineering, Yang See Kiat</t>
        </is>
      </c>
      <c r="D46" s="4" t="inlineStr">
        <is>
          <t>Yang See Kiat</t>
        </is>
      </c>
      <c r="E46" s="4" t="inlineStr">
        <is>
          <t>Romain Andrieu</t>
        </is>
      </c>
      <c r="F46" s="4" t="inlineStr">
        <is>
          <t>Prospect contacté, retour : "Que du co-invest". Lead enrichment impossible, email non valide. Aucun échange ou activité supplémentaire, pas de suivi ni prochaine étape identifiée. Pas d'avis prospect sur fonds présentés. Aucun passage en comité mentionné. Pas d'autres infos contextuelles.</t>
        </is>
      </c>
      <c r="G46" s="4" t="inlineStr">
        <is>
          <t>KO</t>
        </is>
      </c>
      <c r="H46" s="4" t="inlineStr">
        <is>
          <t>15/05/2025</t>
        </is>
      </c>
      <c r="I46" s="4" t="inlineStr"/>
      <c r="J46" s="4">
        <f>ROUND(Z46/1000000,3)&amp;" M€"</f>
        <v/>
      </c>
      <c r="K46" s="4" t="inlineStr">
        <is>
          <t>0%</t>
        </is>
      </c>
      <c r="L46" s="4" t="inlineStr">
        <is>
          <t>Autre</t>
        </is>
      </c>
      <c r="Z46" t="n">
        <v>0</v>
      </c>
    </row>
    <row r="47" ht="60" customHeight="1">
      <c r="A47" s="6" t="inlineStr">
        <is>
          <t>DEEPTECH - Exergon</t>
        </is>
      </c>
      <c r="B47" s="6" t="inlineStr">
        <is>
          <t>Corporate</t>
        </is>
      </c>
      <c r="C47" s="6" t="inlineStr">
        <is>
          <t>SOFIPROTEOL, Luc Ozanne</t>
        </is>
      </c>
      <c r="D47" s="6" t="inlineStr">
        <is>
          <t>Luc Ozanne</t>
        </is>
      </c>
      <c r="E47" s="6" t="inlineStr">
        <is>
          <t>Romain Andrieu</t>
        </is>
      </c>
      <c r="F47" s="6" t="inlineStr">
        <is>
          <t>Coordination Eric/Laetitia, équipe Marseille recommande fonds à Paris (contact à préciser). Poche obligataire dédiée tracable (OC uniquement). Fonds BEI réservé dépenses exploitation, pas d'immobilier. Pas d'activité future planifiée identifiée. Pas de retour prospect sur fonds présenté.</t>
        </is>
      </c>
      <c r="G47" s="6" t="inlineStr">
        <is>
          <t>KO</t>
        </is>
      </c>
      <c r="H47" s="6" t="inlineStr">
        <is>
          <t>27/02/2025</t>
        </is>
      </c>
      <c r="I47" s="6" t="inlineStr"/>
      <c r="J47" s="6">
        <f>ROUND(Z47/1000000,3)&amp;" M€"</f>
        <v/>
      </c>
      <c r="K47" s="6" t="inlineStr">
        <is>
          <t>0%</t>
        </is>
      </c>
      <c r="L47" s="6" t="inlineStr">
        <is>
          <t>Autre</t>
        </is>
      </c>
      <c r="Z47" t="n">
        <v>0</v>
      </c>
    </row>
    <row r="48" ht="60" customHeight="1">
      <c r="A48" s="4" t="inlineStr">
        <is>
          <t>DEEPTECH - Exergon</t>
        </is>
      </c>
      <c r="B48" s="4" t="inlineStr">
        <is>
          <t>Banque privée</t>
        </is>
      </c>
      <c r="C48" s="4" t="inlineStr">
        <is>
          <t>SOCIETE GENERALE private banking, Philippe Delacarte</t>
        </is>
      </c>
      <c r="D48" s="4" t="inlineStr">
        <is>
          <t>Philippe Delacarte</t>
        </is>
      </c>
      <c r="E48" s="4" t="inlineStr">
        <is>
          <t>Romain Andrieu</t>
        </is>
      </c>
      <c r="F48" s="4" t="inlineStr">
        <is>
          <t>Charles prépare mail DG SGPB (Matthieu Vedrenne). Pas de FdF car équipe en création, SGPB va présenter sur feeders à 3 LPs. Intro LP sur mesure, tous fonds, discussion retail. Pas d'activité future planifiée à ce jour. Attente retour SGPB après présentation aux LPs.</t>
        </is>
      </c>
      <c r="G48" s="4" t="inlineStr">
        <is>
          <t>OK</t>
        </is>
      </c>
      <c r="H48" s="4" t="inlineStr">
        <is>
          <t>24/09/2025</t>
        </is>
      </c>
      <c r="I48" s="4" t="inlineStr"/>
      <c r="J48" s="4">
        <f>ROUND(Z48/1000000,3)&amp;" M€"</f>
        <v/>
      </c>
      <c r="K48" s="4" t="inlineStr">
        <is>
          <t>0%</t>
        </is>
      </c>
      <c r="L48" s="4" t="inlineStr">
        <is>
          <t>Autre</t>
        </is>
      </c>
      <c r="Z48" t="n">
        <v>0</v>
      </c>
    </row>
    <row r="49" ht="60" customHeight="1">
      <c r="A49" s="6" t="inlineStr">
        <is>
          <t>DEEPTECH - Exergon</t>
        </is>
      </c>
      <c r="B49" s="6" t="inlineStr">
        <is>
          <t>Société de gestion</t>
        </is>
      </c>
      <c r="C49" s="6" t="inlineStr">
        <is>
          <t>SOCIETE GENERALE INVESTMENT SOLUTIONS (FRANCE), Guillaume de Martel</t>
        </is>
      </c>
      <c r="D49" s="6" t="inlineStr">
        <is>
          <t>Guillaume de Martel</t>
        </is>
      </c>
      <c r="E49" s="6" t="inlineStr">
        <is>
          <t>Romain Andrieu</t>
        </is>
      </c>
      <c r="F49" s="6" t="inlineStr">
        <is>
          <t>Enrichissement lead impossible (email non valide). Message reçu : "Trop tôt concernant l'équ...". Aucun échange ou activité récente, pas de retour prospect, aucune action menée ni prochaine étape identifiée. Pas d'avis exprimé sur les fonds présentés. Aucun suivi ou interaction significative constatée.</t>
        </is>
      </c>
      <c r="G49" s="6" t="inlineStr">
        <is>
          <t>KO</t>
        </is>
      </c>
      <c r="H49" s="6" t="inlineStr">
        <is>
          <t>30/07/2025</t>
        </is>
      </c>
      <c r="I49" s="6" t="inlineStr"/>
      <c r="J49" s="6">
        <f>ROUND(Z49/1000000,3)&amp;" M€"</f>
        <v/>
      </c>
      <c r="K49" s="6" t="inlineStr">
        <is>
          <t>0%</t>
        </is>
      </c>
      <c r="L49" s="6" t="inlineStr">
        <is>
          <t>Autre</t>
        </is>
      </c>
      <c r="Z49" t="n">
        <v>0</v>
      </c>
    </row>
    <row r="50" ht="60" customHeight="1">
      <c r="A50" s="4" t="inlineStr">
        <is>
          <t>DEEPTECH - Exergon</t>
        </is>
      </c>
      <c r="B50" s="4" t="inlineStr">
        <is>
          <t>Public</t>
        </is>
      </c>
      <c r="C50" s="4" t="inlineStr">
        <is>
          <t>SETT, Juan Carlos Antunez</t>
        </is>
      </c>
      <c r="D50" s="4" t="inlineStr">
        <is>
          <t>Juan Carlos Antunez</t>
        </is>
      </c>
      <c r="E50" s="4" t="inlineStr">
        <is>
          <t>Romain Andrieu</t>
        </is>
      </c>
      <c r="F50" s="4" t="inlineStr">
        <is>
          <t>Aucune activité menée sur le prospect. Aucun échange, appel ou action enregistrés. Adresse email non valide, enrichissement impossible. Pas de retour, pas de prise de contact, aucune information sur l'intérêt ou le contexte du prospect. Prochaines étapes non définies, suivi à initier.</t>
        </is>
      </c>
      <c r="G50" s="4" t="inlineStr">
        <is>
          <t>KO</t>
        </is>
      </c>
      <c r="H50" s="4" t="inlineStr">
        <is>
          <t>16/10/2025</t>
        </is>
      </c>
      <c r="I50" s="4" t="inlineStr"/>
      <c r="J50" s="4">
        <f>ROUND(Z50/1000000,3)&amp;" M€"</f>
        <v/>
      </c>
      <c r="K50" s="4" t="inlineStr">
        <is>
          <t>0%</t>
        </is>
      </c>
      <c r="L50" s="4" t="inlineStr">
        <is>
          <t>Autre</t>
        </is>
      </c>
      <c r="Z50" t="n">
        <v>0</v>
      </c>
    </row>
    <row r="51" ht="60" customHeight="1">
      <c r="A51" s="6" t="inlineStr">
        <is>
          <t>DEEPTECH - Exergon</t>
        </is>
      </c>
      <c r="B51" s="6" t="inlineStr">
        <is>
          <t>Société de gestion</t>
        </is>
      </c>
      <c r="C51" s="6" t="inlineStr">
        <is>
          <t>SEEDLING ASSET MANAGEMENT PTE. LTD., Xuan Zhang</t>
        </is>
      </c>
      <c r="D51" s="6" t="inlineStr">
        <is>
          <t>Xuan Zhang</t>
        </is>
      </c>
      <c r="E51" s="6" t="inlineStr">
        <is>
          <t>Romain Andrieu</t>
        </is>
      </c>
      <c r="F51" s="6" t="inlineStr">
        <is>
          <t>Prospect contacté, retour "Pas intéressé" reçu. Tentative d'enrichissement lead échouée (email invalide). Aucun échange ou activité complémentaire relevé. Pas d'action future prévue, prospect non engagé, dossier à classer sans suite.</t>
        </is>
      </c>
      <c r="G51" s="6" t="inlineStr">
        <is>
          <t>KO</t>
        </is>
      </c>
      <c r="H51" s="6" t="inlineStr">
        <is>
          <t>15/10/2025</t>
        </is>
      </c>
      <c r="I51" s="6" t="inlineStr"/>
      <c r="J51" s="6">
        <f>ROUND(Z51/1000000,3)&amp;" M€"</f>
        <v/>
      </c>
      <c r="K51" s="6" t="inlineStr">
        <is>
          <t>0%</t>
        </is>
      </c>
      <c r="L51" s="6" t="inlineStr">
        <is>
          <t>Autre</t>
        </is>
      </c>
      <c r="Z51" t="n">
        <v>0</v>
      </c>
    </row>
    <row r="52" ht="60" customHeight="1">
      <c r="A52" s="4" t="inlineStr">
        <is>
          <t>DEEPTECH - Exergon</t>
        </is>
      </c>
      <c r="B52" s="4" t="inlineStr">
        <is>
          <t>Fonds de fonds</t>
        </is>
      </c>
      <c r="C52" s="4" t="inlineStr">
        <is>
          <t>SEB VENTURE, Johan WOLF</t>
        </is>
      </c>
      <c r="D52" s="4" t="inlineStr">
        <is>
          <t>Johan WOLF</t>
        </is>
      </c>
      <c r="E52" s="4" t="inlineStr">
        <is>
          <t>Romain Andrieu</t>
        </is>
      </c>
      <c r="F52" s="4" t="inlineStr">
        <is>
          <t>Prospect a investi chez Serena, ralentit sur nouveaux fonds. Aucun échange ou activité récente côté utilisateur. Pas d'autres retours ni actions prévues identifiées. Pas de mention de comité ni de contexte de création. Aucune prochaine étape renseignée à ce stade.</t>
        </is>
      </c>
      <c r="G52" s="4" t="inlineStr">
        <is>
          <t>KO</t>
        </is>
      </c>
      <c r="H52" s="4" t="inlineStr">
        <is>
          <t>10/06/2025</t>
        </is>
      </c>
      <c r="I52" s="4" t="inlineStr"/>
      <c r="J52" s="4">
        <f>ROUND(Z52/1000000,3)&amp;" M€"</f>
        <v/>
      </c>
      <c r="K52" s="4" t="inlineStr">
        <is>
          <t>0%</t>
        </is>
      </c>
      <c r="L52" s="4" t="inlineStr">
        <is>
          <t>Autre</t>
        </is>
      </c>
      <c r="Z52" t="n">
        <v>0</v>
      </c>
    </row>
    <row r="53" ht="60" customHeight="1">
      <c r="A53" s="6" t="inlineStr">
        <is>
          <t>DEEPTECH - Exergon</t>
        </is>
      </c>
      <c r="B53" s="6" t="inlineStr">
        <is>
          <t>Société de gestion</t>
        </is>
      </c>
      <c r="C53" s="6" t="inlineStr">
        <is>
          <t>Schroders Capital, Harry Raikes</t>
        </is>
      </c>
      <c r="D53" s="6" t="inlineStr">
        <is>
          <t>Harry Raikes</t>
        </is>
      </c>
      <c r="E53" s="6" t="inlineStr">
        <is>
          <t>Romain Andrieu</t>
        </is>
      </c>
      <c r="F53" s="6" t="inlineStr">
        <is>
          <t>Mise en relation par Sere. Tentative d'enrichissement du lead échouée (email invalide). Aucun échange ou action supplémentaire enregistrée, pas de retour du prospect, ni d'activité planifiée ou passée. Pas de feedback sur les fonds présentés. Prochaines étapes non définies, suivi à prévoir.</t>
        </is>
      </c>
      <c r="G53" s="6" t="inlineStr">
        <is>
          <t>KO</t>
        </is>
      </c>
      <c r="H53" s="6" t="inlineStr">
        <is>
          <t>20/11/2025</t>
        </is>
      </c>
      <c r="I53" s="6" t="inlineStr"/>
      <c r="J53" s="6">
        <f>ROUND(Z53/1000000,3)&amp;" M€"</f>
        <v/>
      </c>
      <c r="K53" s="6" t="inlineStr">
        <is>
          <t>0%</t>
        </is>
      </c>
      <c r="L53" s="6" t="inlineStr">
        <is>
          <t>Autre</t>
        </is>
      </c>
      <c r="Z53" t="n">
        <v>0</v>
      </c>
    </row>
    <row r="54" ht="60" customHeight="1">
      <c r="A54" s="4" t="inlineStr">
        <is>
          <t>DEEPTECH - Exergon</t>
        </is>
      </c>
      <c r="B54" s="4" t="inlineStr">
        <is>
          <t>Société de gestion</t>
        </is>
      </c>
      <c r="C54" s="4" t="inlineStr">
        <is>
          <t>Schroders Adveq, Serena BERGAMINI</t>
        </is>
      </c>
      <c r="D54" s="4" t="inlineStr">
        <is>
          <t>Serena BERGAMINI</t>
        </is>
      </c>
      <c r="E54" s="4" t="inlineStr">
        <is>
          <t>Romain Andrieu</t>
        </is>
      </c>
      <c r="F54" s="4" t="inlineStr">
        <is>
          <t>Nouvelle piste créée pour équipe Ventes. Premier retour prospect : dossier jugé trop niche pour eux, pas d'intérêt manifesté. Aucun échange ou activité supplémentaire relevé, pas de prochaine étape planifiée à ce stade. Pas d'autres retours ou actions à signaler pour l'instant.</t>
        </is>
      </c>
      <c r="G54" s="4" t="inlineStr">
        <is>
          <t>KO</t>
        </is>
      </c>
      <c r="H54" s="4" t="inlineStr">
        <is>
          <t>25/10/2024</t>
        </is>
      </c>
      <c r="I54" s="4" t="inlineStr"/>
      <c r="J54" s="4">
        <f>ROUND(Z54/1000000,3)&amp;" M€"</f>
        <v/>
      </c>
      <c r="K54" s="4" t="inlineStr">
        <is>
          <t>0%</t>
        </is>
      </c>
      <c r="L54" s="4" t="inlineStr">
        <is>
          <t>Autre</t>
        </is>
      </c>
      <c r="Z54" t="n">
        <v>0</v>
      </c>
    </row>
    <row r="55" ht="60" customHeight="1">
      <c r="A55" s="6" t="inlineStr">
        <is>
          <t>DEEPTECH - Exergon</t>
        </is>
      </c>
      <c r="B55" s="6" t="inlineStr">
        <is>
          <t>Fonds de fonds</t>
        </is>
      </c>
      <c r="C55" s="6" t="inlineStr">
        <is>
          <t>Rina, Stefano Filippi</t>
        </is>
      </c>
      <c r="D55" s="6" t="inlineStr">
        <is>
          <t>Stefano Filippi</t>
        </is>
      </c>
      <c r="E55" s="6" t="inlineStr">
        <is>
          <t>Levée de Fonds</t>
        </is>
      </c>
      <c r="F55" s="6" t="inlineStr">
        <is>
          <t>Aucune activité significative menée sur le prospect. Email non valide, enrichissement lead impossible. Aucun échange, appel ou action enregistrée. Pas de retour ni de conclusion de la part du prospect. Prochaines étapes non planifiées, aucune action future identifiée à ce jour.</t>
        </is>
      </c>
      <c r="G55" s="6" t="inlineStr">
        <is>
          <t>OK</t>
        </is>
      </c>
      <c r="H55" s="6" t="inlineStr">
        <is>
          <t>23/10/2025</t>
        </is>
      </c>
      <c r="I55" s="6" t="inlineStr"/>
      <c r="J55" s="6">
        <f>ROUND(Z55/1000000,3)&amp;" M€"</f>
        <v/>
      </c>
      <c r="K55" s="6" t="inlineStr">
        <is>
          <t>10%</t>
        </is>
      </c>
      <c r="L55" s="6" t="inlineStr">
        <is>
          <t>Autre</t>
        </is>
      </c>
      <c r="Z55" t="n">
        <v>0</v>
      </c>
    </row>
    <row r="56" ht="60" customHeight="1">
      <c r="A56" s="4" t="inlineStr">
        <is>
          <t>DEEPTECH - Exergon</t>
        </is>
      </c>
      <c r="B56" s="4" t="inlineStr">
        <is>
          <t>Banque (haut de bilan)</t>
        </is>
      </c>
      <c r="C56" s="4" t="inlineStr">
        <is>
          <t>Rabo Bank Group, Francis Quint</t>
        </is>
      </c>
      <c r="D56" s="4" t="inlineStr">
        <is>
          <t>Francis Quint</t>
        </is>
      </c>
      <c r="E56" s="4" t="inlineStr">
        <is>
          <t>Romain Andrieu</t>
        </is>
      </c>
      <c r="F56" s="4" t="inlineStr">
        <is>
          <t>Relance effectuée, retour du 28/10/2025 : prospect non intéressé, fonds jugé trop éloigné de l'agricole. Aucun autre échange ou activité récente. Pas d'enrichissement possible via l'email. Pas d'action future prévue, dossier à l'arrêt faute d'intérêt du prospect.</t>
        </is>
      </c>
      <c r="G56" s="4" t="inlineStr">
        <is>
          <t>KO</t>
        </is>
      </c>
      <c r="H56" s="4" t="inlineStr">
        <is>
          <t>28/10/2025</t>
        </is>
      </c>
      <c r="I56" s="4" t="inlineStr"/>
      <c r="J56" s="4">
        <f>ROUND(Z56/1000000,3)&amp;" M€"</f>
        <v/>
      </c>
      <c r="K56" s="4" t="inlineStr">
        <is>
          <t>0%</t>
        </is>
      </c>
      <c r="L56" s="4" t="inlineStr">
        <is>
          <t>Autre</t>
        </is>
      </c>
      <c r="Z56" t="n">
        <v>0</v>
      </c>
    </row>
    <row r="57" ht="60" customHeight="1">
      <c r="A57" s="6" t="inlineStr">
        <is>
          <t>DEEPTECH - Exergon</t>
        </is>
      </c>
      <c r="B57" s="6" t="inlineStr">
        <is>
          <t>Conseil</t>
        </is>
      </c>
      <c r="C57" s="6" t="inlineStr">
        <is>
          <t>PKH, Odvaar Frigstad</t>
        </is>
      </c>
      <c r="D57" s="6" t="inlineStr">
        <is>
          <t>Odvaar Frigstad</t>
        </is>
      </c>
      <c r="E57" s="6" t="inlineStr">
        <is>
          <t>Romain Andrieu</t>
        </is>
      </c>
      <c r="F57" s="6" t="inlineStr">
        <is>
          <t>Contact prospect : changement d'organisation, interlocuteur quitte ses fonctions, pas de successeur désigné, stratégie non prioritaire, réunion annulée, prospect non intéressé à ce stade, aucune action ou suivi prévu, stand-by. Pas d'autres activités ou retours récents détectés.</t>
        </is>
      </c>
      <c r="G57" s="6" t="inlineStr">
        <is>
          <t>KO</t>
        </is>
      </c>
      <c r="H57" s="6" t="inlineStr">
        <is>
          <t>07/05/2025</t>
        </is>
      </c>
      <c r="I57" s="6" t="inlineStr"/>
      <c r="J57" s="6">
        <f>ROUND(Z57/1000000,3)&amp;" M€"</f>
        <v/>
      </c>
      <c r="K57" s="6" t="inlineStr">
        <is>
          <t>0%</t>
        </is>
      </c>
      <c r="L57" s="6" t="inlineStr">
        <is>
          <t>Autre</t>
        </is>
      </c>
      <c r="Z57" t="n">
        <v>0</v>
      </c>
    </row>
    <row r="58" ht="60" customHeight="1">
      <c r="A58" s="4" t="inlineStr">
        <is>
          <t>DEEPTECH - Exergon</t>
        </is>
      </c>
      <c r="B58" s="4" t="inlineStr">
        <is>
          <t>Corporate</t>
        </is>
      </c>
      <c r="C58" s="4" t="inlineStr">
        <is>
          <t>OCP (Bidra), Bruno meireles de Sousa</t>
        </is>
      </c>
      <c r="D58" s="4" t="inlineStr">
        <is>
          <t>Bruno meireles de Sousa</t>
        </is>
      </c>
      <c r="E58" s="4" t="inlineStr">
        <is>
          <t>Romain Andrieu</t>
        </is>
      </c>
      <c r="F58" s="4" t="inlineStr">
        <is>
          <t>Dernière action : mention "Focus Calderion" par l'utilisateur, aucune autre information ou interaction significative enregistrée, aucune activité planifiée ni compte-rendu prospect, pas de prochaine étape identifiée. Aucun retour prospect ni conclusion sur fonds. Pas d'autres échanges ou actions récentes.</t>
        </is>
      </c>
      <c r="G58" s="4" t="inlineStr">
        <is>
          <t>KO</t>
        </is>
      </c>
      <c r="H58" s="4" t="inlineStr">
        <is>
          <t>21/05/2025</t>
        </is>
      </c>
      <c r="I58" s="4" t="inlineStr"/>
      <c r="J58" s="4">
        <f>ROUND(Z58/1000000,3)&amp;" M€"</f>
        <v/>
      </c>
      <c r="K58" s="4" t="inlineStr">
        <is>
          <t>0%</t>
        </is>
      </c>
      <c r="L58" s="4" t="inlineStr">
        <is>
          <t>Autre</t>
        </is>
      </c>
      <c r="Z58" t="n">
        <v>0</v>
      </c>
    </row>
    <row r="59" ht="60" customHeight="1">
      <c r="A59" s="6" t="inlineStr">
        <is>
          <t>DEEPTECH - Exergon</t>
        </is>
      </c>
      <c r="B59" s="6" t="inlineStr">
        <is>
          <t>Public</t>
        </is>
      </c>
      <c r="C59" s="6" t="inlineStr">
        <is>
          <t>NYSNO, Lars HVAM</t>
        </is>
      </c>
      <c r="D59" s="6" t="inlineStr">
        <is>
          <t>Lars HVAM</t>
        </is>
      </c>
      <c r="E59" s="6" t="inlineStr">
        <is>
          <t>Romain Andrieu</t>
        </is>
      </c>
      <c r="F59" s="6" t="inlineStr">
        <is>
          <t>Fonds ciblés : Norvège, GP local, focus late seed/Série A, ouverture dealflow, réticence deeptech, préférence TRDL ~6. Conclusion prospect : ok pour reparler à CALDERION si dealflow norvégien, EXERGON décliné en 2024. Pas d'autres actions ou activités récentes identifiées.</t>
        </is>
      </c>
      <c r="G59" s="6" t="inlineStr">
        <is>
          <t>KO</t>
        </is>
      </c>
      <c r="H59" s="6" t="inlineStr">
        <is>
          <t>07/05/2025</t>
        </is>
      </c>
      <c r="I59" s="6" t="inlineStr"/>
      <c r="J59" s="6">
        <f>ROUND(Z59/1000000,3)&amp;" M€"</f>
        <v/>
      </c>
      <c r="K59" s="6" t="inlineStr">
        <is>
          <t>0%</t>
        </is>
      </c>
      <c r="L59" s="6" t="inlineStr">
        <is>
          <t>Autre</t>
        </is>
      </c>
      <c r="Z59" t="n">
        <v>0</v>
      </c>
    </row>
    <row r="60" ht="60" customHeight="1">
      <c r="A60" s="4" t="inlineStr">
        <is>
          <t>DEEPTECH - Exergon</t>
        </is>
      </c>
      <c r="B60" s="4" t="inlineStr">
        <is>
          <t>Holding</t>
        </is>
      </c>
      <c r="C60" s="4" t="inlineStr">
        <is>
          <t>NOVO HOLDINGS, Tatiana BRASK</t>
        </is>
      </c>
      <c r="D60" s="4" t="inlineStr">
        <is>
          <t>Tatiana BRASK</t>
        </is>
      </c>
      <c r="E60" s="4" t="inlineStr">
        <is>
          <t>Romain Andrieu</t>
        </is>
      </c>
      <c r="F60" s="4" t="inlineStr">
        <is>
          <t>Relance effectuée le 09/06, aucune réponse reçue à ce jour. Aucun retour prospect, pas d'autres échanges ou actions récentes. Pas d'activité planifiée ni de prochaine étape identifiée. Situation en attente de réaction du prospect, suivi à maintenir.</t>
        </is>
      </c>
      <c r="G60" s="4" t="inlineStr">
        <is>
          <t>KO</t>
        </is>
      </c>
      <c r="H60" s="4" t="inlineStr">
        <is>
          <t>12/11/2025</t>
        </is>
      </c>
      <c r="I60" s="4" t="inlineStr"/>
      <c r="J60" s="4">
        <f>ROUND(Z60/1000000,3)&amp;" M€"</f>
        <v/>
      </c>
      <c r="K60" s="4" t="inlineStr">
        <is>
          <t>0%</t>
        </is>
      </c>
      <c r="L60" s="4" t="inlineStr">
        <is>
          <t>Autre</t>
        </is>
      </c>
      <c r="Z60" t="n">
        <v>0</v>
      </c>
    </row>
    <row r="61" ht="60" customHeight="1">
      <c r="A61" s="6" t="inlineStr">
        <is>
          <t>DEEPTECH - Exergon</t>
        </is>
      </c>
      <c r="B61" s="6" t="inlineStr">
        <is>
          <t>Société de gestion</t>
        </is>
      </c>
      <c r="C61" s="6" t="inlineStr">
        <is>
          <t>NORDEA ASSET MANAGEMENT, Mathias LOFT MORTENSEN</t>
        </is>
      </c>
      <c r="D61" s="6" t="inlineStr">
        <is>
          <t>Mathias LOFT MORTENSEN</t>
        </is>
      </c>
      <c r="E61" s="6" t="inlineStr">
        <is>
          <t>Romain Andrieu</t>
        </is>
      </c>
      <c r="F61" s="6" t="inlineStr">
        <is>
          <t>Relation KO notée le 09/06/2026, aucun échange ou activité complémentaire enregistrée, aucune action future prévue, pas de retour ou commentaire prospect sur les fonds présentés, pas de mention de contexte de création de la piste, aucun suivi ou activité récente détectée sur cette opportunité.</t>
        </is>
      </c>
      <c r="G61" s="6" t="inlineStr">
        <is>
          <t>KO</t>
        </is>
      </c>
      <c r="H61" s="6" t="inlineStr">
        <is>
          <t>16/09/2025</t>
        </is>
      </c>
      <c r="I61" s="6" t="inlineStr"/>
      <c r="J61" s="6">
        <f>ROUND(Z61/1000000,3)&amp;" M€"</f>
        <v/>
      </c>
      <c r="K61" s="6" t="inlineStr">
        <is>
          <t>0%</t>
        </is>
      </c>
      <c r="L61" s="6" t="inlineStr">
        <is>
          <t>Autre</t>
        </is>
      </c>
      <c r="Z61" t="n">
        <v>0</v>
      </c>
    </row>
    <row r="62" ht="60" customHeight="1">
      <c r="A62" s="4" t="inlineStr">
        <is>
          <t>DEEPTECH - Exergon</t>
        </is>
      </c>
      <c r="B62" s="4" t="inlineStr">
        <is>
          <t>Société de gestion</t>
        </is>
      </c>
      <c r="C62" s="4" t="inlineStr">
        <is>
          <t>NOA CAPITAL, Ahmed al Darwish</t>
        </is>
      </c>
      <c r="D62" s="4" t="inlineStr">
        <is>
          <t>Ahmed al Darwish</t>
        </is>
      </c>
      <c r="E62" s="4" t="inlineStr">
        <is>
          <t>Romain Andrieu</t>
        </is>
      </c>
      <c r="F62" s="4" t="inlineStr">
        <is>
          <t>Contact prospect 09/06 : investissent tech globale/services financiers, pas intéressés par EXERGON. Aucune activité ou relance supplémentaire enregistrée. Pas de prochaines étapes prévues, ni de retour positif du prospect sur l'offre présentée. Aucun suivi ou action à venir identifiés.</t>
        </is>
      </c>
      <c r="G62" s="4" t="inlineStr">
        <is>
          <t>KO</t>
        </is>
      </c>
      <c r="H62" s="4" t="inlineStr">
        <is>
          <t>15/10/2025</t>
        </is>
      </c>
      <c r="I62" s="4" t="inlineStr"/>
      <c r="J62" s="4">
        <f>ROUND(Z62/1000000,3)&amp;" M€"</f>
        <v/>
      </c>
      <c r="K62" s="4" t="inlineStr">
        <is>
          <t>0%</t>
        </is>
      </c>
      <c r="L62" s="4" t="inlineStr">
        <is>
          <t>Autre</t>
        </is>
      </c>
      <c r="Z62" t="n">
        <v>0</v>
      </c>
    </row>
    <row r="63" ht="60" customHeight="1">
      <c r="A63" s="6" t="inlineStr">
        <is>
          <t>DEEPTECH - Exergon</t>
        </is>
      </c>
      <c r="B63" s="6" t="inlineStr">
        <is>
          <t>Fonds de fonds</t>
        </is>
      </c>
      <c r="C63" s="6" t="inlineStr">
        <is>
          <t>Neva SGR, Matteo Gallo</t>
        </is>
      </c>
      <c r="D63" s="6" t="inlineStr">
        <is>
          <t>Matteo Gallo</t>
        </is>
      </c>
      <c r="E63" s="6" t="inlineStr">
        <is>
          <t>Levée de Fonds</t>
        </is>
      </c>
      <c r="F63" s="6" t="inlineStr">
        <is>
          <t>Lead GS identifié. 1ère réunion Fonds Intesa Sanpaolo avec P Colin évoquée, passage par le haut recommandé, référence à CB. Pas d'autres activités ni retours prospects précisés. Prochaines étapes non détaillées, attente de nouvelles actions ou retours.</t>
        </is>
      </c>
      <c r="G63" s="6" t="inlineStr">
        <is>
          <t>OK</t>
        </is>
      </c>
      <c r="H63" s="6" t="inlineStr">
        <is>
          <t>24/03/2025</t>
        </is>
      </c>
      <c r="I63" s="6" t="inlineStr"/>
      <c r="J63" s="6">
        <f>ROUND(Z63/1000000,3)&amp;" M€"</f>
        <v/>
      </c>
      <c r="K63" s="6" t="inlineStr">
        <is>
          <t>0%</t>
        </is>
      </c>
      <c r="L63" s="6" t="inlineStr">
        <is>
          <t>Autre</t>
        </is>
      </c>
      <c r="Z63" t="n">
        <v>0</v>
      </c>
    </row>
    <row r="64" ht="60" customHeight="1">
      <c r="A64" s="4" t="inlineStr">
        <is>
          <t>DEEPTECH - Exergon</t>
        </is>
      </c>
      <c r="B64" s="4" t="inlineStr">
        <is>
          <t>Assurance/Mutuelle</t>
        </is>
      </c>
      <c r="C64" s="4" t="inlineStr">
        <is>
          <t>MUNICH RE, Luisa ZIMMERMANN</t>
        </is>
      </c>
      <c r="D64" s="4" t="inlineStr">
        <is>
          <t>Luisa ZIMMERMANN</t>
        </is>
      </c>
      <c r="E64" s="4" t="inlineStr">
        <is>
          <t>Romain Andrieu</t>
        </is>
      </c>
      <c r="F64" s="4" t="inlineStr">
        <is>
          <t>Contactés à la 0100 conference Amsterdam, prospects non intéressés par le VC, cherchent uniquement des fonds génération 3-4. Pas d'autres échanges ou actions menées depuis, aucune activité planifiée. Pas de retour positif ni de suite prévue à ce stade.</t>
        </is>
      </c>
      <c r="G64" s="4" t="inlineStr">
        <is>
          <t>KO</t>
        </is>
      </c>
      <c r="H64" s="4" t="inlineStr">
        <is>
          <t>04/04/2025</t>
        </is>
      </c>
      <c r="I64" s="4" t="inlineStr"/>
      <c r="J64" s="4">
        <f>ROUND(Z64/1000000,3)&amp;" M€"</f>
        <v/>
      </c>
      <c r="K64" s="4" t="inlineStr">
        <is>
          <t>0%</t>
        </is>
      </c>
      <c r="L64" s="4" t="inlineStr">
        <is>
          <t>Autre</t>
        </is>
      </c>
      <c r="Z64" t="n">
        <v>0</v>
      </c>
    </row>
    <row r="65" ht="60" customHeight="1">
      <c r="A65" s="6" t="inlineStr">
        <is>
          <t>DEEPTECH - Exergon</t>
        </is>
      </c>
      <c r="B65" s="6" t="inlineStr">
        <is>
          <t>Assurance/Mutuelle</t>
        </is>
      </c>
      <c r="C65" s="6" t="inlineStr">
        <is>
          <t>MAIF, Carole ZACCHEO</t>
        </is>
      </c>
      <c r="D65" s="6" t="inlineStr">
        <is>
          <t>Carole ZACCHEO</t>
        </is>
      </c>
      <c r="E65" s="6" t="inlineStr">
        <is>
          <t>Romain Andrieu</t>
        </is>
      </c>
      <c r="F65" s="6" t="inlineStr">
        <is>
          <t>Présentation fonds MAIF : 250M€ énergie renouvelables, 50M€ forêt, 100M€ forêt. Prospects notent absence first time team, pas de VC, gestion financière en assistance sur trajectoire jugée KO. Pas d'activité ou d'action récente autre que ce retour. Prochaines étapes non définies.</t>
        </is>
      </c>
      <c r="G65" s="6" t="inlineStr">
        <is>
          <t>KO</t>
        </is>
      </c>
      <c r="H65" s="6" t="inlineStr">
        <is>
          <t>27/04/2026</t>
        </is>
      </c>
      <c r="I65" s="6" t="inlineStr"/>
      <c r="J65" s="6">
        <f>ROUND(Z65/1000000,3)&amp;" M€"</f>
        <v/>
      </c>
      <c r="K65" s="6" t="inlineStr">
        <is>
          <t>0%</t>
        </is>
      </c>
      <c r="L65" s="6" t="inlineStr">
        <is>
          <t>Autre</t>
        </is>
      </c>
      <c r="Z65" t="n">
        <v>0</v>
      </c>
    </row>
    <row r="66" ht="60" customHeight="1">
      <c r="A66" s="4" t="inlineStr">
        <is>
          <t>DEEPTECH - Exergon</t>
        </is>
      </c>
      <c r="B66" s="4" t="inlineStr">
        <is>
          <t>Assurance/Mutuelle</t>
        </is>
      </c>
      <c r="C66" s="4" t="inlineStr">
        <is>
          <t>Aurélie FEREY</t>
        </is>
      </c>
      <c r="D66" s="4" t="inlineStr">
        <is>
          <t>Aurélie FEREY</t>
        </is>
      </c>
      <c r="E66" s="4" t="inlineStr">
        <is>
          <t>Romain Andrieu</t>
        </is>
      </c>
      <c r="F66" s="4" t="inlineStr">
        <is>
          <t>Nouvelle piste créée pour équipe Ventes. Dernier échange : besoin du EIF et BPI précisé, ouverture envisagée après réception de ces éléments. Pas d'autres actions ou retours prospect enregistrés. Prochaines étapes : obtenir EIF et BPI pour avancer sur l'ouverture.</t>
        </is>
      </c>
      <c r="G66" s="4" t="inlineStr">
        <is>
          <t>OK</t>
        </is>
      </c>
      <c r="H66" s="4" t="inlineStr">
        <is>
          <t>26/09/2025</t>
        </is>
      </c>
      <c r="I66" s="4" t="inlineStr"/>
      <c r="J66" s="4">
        <f>ROUND(Z66/1000000,3)&amp;" M€"</f>
        <v/>
      </c>
      <c r="K66" s="4" t="inlineStr">
        <is>
          <t>10%</t>
        </is>
      </c>
      <c r="L66" s="4" t="inlineStr">
        <is>
          <t>Autre</t>
        </is>
      </c>
      <c r="Z66" t="n">
        <v>0</v>
      </c>
    </row>
    <row r="67" ht="60" customHeight="1">
      <c r="A67" s="6" t="inlineStr">
        <is>
          <t>DEEPTECH - Exergon</t>
        </is>
      </c>
      <c r="B67" s="6" t="inlineStr">
        <is>
          <t>Société de gestion</t>
        </is>
      </c>
      <c r="C67" s="6" t="inlineStr">
        <is>
          <t>KFW CAPITAL, Thorsten BILLING</t>
        </is>
      </c>
      <c r="D67" s="6" t="inlineStr">
        <is>
          <t>Thorsten BILLING</t>
        </is>
      </c>
      <c r="E67" s="6" t="inlineStr">
        <is>
          <t>Romain Andrieu</t>
        </is>
      </c>
      <c r="F67" s="6" t="inlineStr">
        <is>
          <t>Aucune activité ni échange significatif enregistré sur cette opportunité. Aucun suivi, message ou action récente détecté entre le propriétaire et le prospect. Pas d'information sur des prochaines étapes ou retours du prospect. Aucun élément sur le contexte de création de la piste.</t>
        </is>
      </c>
      <c r="G67" s="6" t="inlineStr">
        <is>
          <t>KO</t>
        </is>
      </c>
      <c r="H67" s="6" t="inlineStr">
        <is>
          <t>09/06/2026</t>
        </is>
      </c>
      <c r="I67" s="6" t="inlineStr"/>
      <c r="J67" s="6">
        <f>ROUND(Z67/1000000,3)&amp;" M€"</f>
        <v/>
      </c>
      <c r="K67" s="6" t="inlineStr">
        <is>
          <t>0%</t>
        </is>
      </c>
      <c r="L67" s="6" t="inlineStr">
        <is>
          <t>Autre</t>
        </is>
      </c>
      <c r="Z67" t="n">
        <v>0</v>
      </c>
    </row>
    <row r="68" ht="60" customHeight="1">
      <c r="A68" s="4" t="inlineStr">
        <is>
          <t>DEEPTECH - Exergon</t>
        </is>
      </c>
      <c r="B68" s="4" t="inlineStr">
        <is>
          <t>Banque (haut de bilan)</t>
        </is>
      </c>
      <c r="C68" s="4" t="inlineStr">
        <is>
          <t>KBC, Wouter Tuerlings</t>
        </is>
      </c>
      <c r="D68" s="4" t="inlineStr">
        <is>
          <t>Wouter Tuerlings</t>
        </is>
      </c>
      <c r="E68" s="4" t="inlineStr">
        <is>
          <t>Romain Andrieu</t>
        </is>
      </c>
      <c r="F68" s="4" t="inlineStr">
        <is>
          <t>Refus EXERGON suite à leur position anti-nucléaire. Nouvelle piste créée pour équipe Ventes, pas d'autres actions ou retours mentionnés. Aucun échange supplémentaire, pas de prochaines étapes prévues à ce stade. Pas d'autres conclusions ou retours prospects identifiés.</t>
        </is>
      </c>
      <c r="G68" s="4" t="inlineStr">
        <is>
          <t>KO</t>
        </is>
      </c>
      <c r="H68" s="4" t="inlineStr">
        <is>
          <t>24/02/2025</t>
        </is>
      </c>
      <c r="I68" s="4" t="inlineStr"/>
      <c r="J68" s="4">
        <f>ROUND(Z68/1000000,3)&amp;" M€"</f>
        <v/>
      </c>
      <c r="K68" s="4" t="inlineStr">
        <is>
          <t>0%</t>
        </is>
      </c>
      <c r="L68" s="4" t="inlineStr">
        <is>
          <t>Autre</t>
        </is>
      </c>
      <c r="Z68" t="n">
        <v>0</v>
      </c>
    </row>
    <row r="69" ht="60" customHeight="1">
      <c r="A69" s="6" t="inlineStr">
        <is>
          <t>DEEPTECH - Exergon</t>
        </is>
      </c>
      <c r="B69" s="6" t="inlineStr">
        <is>
          <t>Assurance/Mutuelle</t>
        </is>
      </c>
      <c r="C69" s="6" t="inlineStr">
        <is>
          <t>IPBP - Institut de Prévoyance, Vinent Marzin</t>
        </is>
      </c>
      <c r="D69" s="6" t="inlineStr">
        <is>
          <t>Vinent Marzin</t>
        </is>
      </c>
      <c r="E69" s="6" t="inlineStr">
        <is>
          <t>Romain Andrieu</t>
        </is>
      </c>
      <c r="F69" s="5" t="inlineStr">
        <is>
          <t>Questions posées au comité le 4 sept sur la stratégie, focus sortie. Pas d'autres échanges ou activités récentes, pas de retour prospect sur fonds présentés, ni prochaines étapes planifiées. Aucun suivi ou action complémentaire identifiés à ce jour.</t>
        </is>
      </c>
      <c r="G69" s="6" t="inlineStr">
        <is>
          <t>KO</t>
        </is>
      </c>
      <c r="H69" s="5" t="inlineStr">
        <is>
          <t>04/09/2026</t>
        </is>
      </c>
      <c r="I69" s="6" t="inlineStr"/>
      <c r="J69" s="6">
        <f>ROUND(Z69/1000000,3)&amp;" M€"</f>
        <v/>
      </c>
      <c r="K69" s="6" t="inlineStr">
        <is>
          <t>0%</t>
        </is>
      </c>
      <c r="L69" s="5" t="inlineStr">
        <is>
          <t>Semaine passée</t>
        </is>
      </c>
      <c r="Z69" t="n">
        <v>0</v>
      </c>
    </row>
    <row r="70" ht="60" customHeight="1">
      <c r="A70" s="4" t="inlineStr">
        <is>
          <t>DEEPTECH - Exergon</t>
        </is>
      </c>
      <c r="B70" s="4" t="inlineStr">
        <is>
          <t>Société de gestion</t>
        </is>
      </c>
      <c r="C70" s="4" t="inlineStr">
        <is>
          <t>INVEST NL, Stefanie Landman</t>
        </is>
      </c>
      <c r="D70" s="4" t="inlineStr">
        <is>
          <t>Stefanie Landman</t>
        </is>
      </c>
      <c r="E70" s="4" t="inlineStr">
        <is>
          <t>Romain Andrieu</t>
        </is>
      </c>
      <c r="F70" s="4" t="inlineStr">
        <is>
          <t>Envoi deck Exergon, retour attendu sous 10j. Prochain rdv en cours. Manque d'alignement Exergon, souhaite + de deal flow NL. Pas d'autres actions ou retours notables. Suivi à poursuivre selon feedback attendu. Aucune info sur création piste ou contexte initial.</t>
        </is>
      </c>
      <c r="G70" s="4" t="inlineStr">
        <is>
          <t>KO</t>
        </is>
      </c>
      <c r="H70" s="4" t="inlineStr">
        <is>
          <t>10/04/2025</t>
        </is>
      </c>
      <c r="I70" s="4" t="inlineStr"/>
      <c r="J70" s="4">
        <f>ROUND(Z70/1000000,3)&amp;" M€"</f>
        <v/>
      </c>
      <c r="K70" s="4" t="inlineStr">
        <is>
          <t>0%</t>
        </is>
      </c>
      <c r="L70" s="4" t="inlineStr">
        <is>
          <t>Autre</t>
        </is>
      </c>
      <c r="Z70" t="n">
        <v>0</v>
      </c>
    </row>
    <row r="71" ht="60" customHeight="1">
      <c r="A71" s="6" t="inlineStr">
        <is>
          <t>DEEPTECH - Exergon</t>
        </is>
      </c>
      <c r="B71" s="6" t="inlineStr">
        <is>
          <t>Assurance/Mutuelle</t>
        </is>
      </c>
      <c r="C71" s="6" t="inlineStr">
        <is>
          <t>MUTUELLE INTERIALE, Jean-François Tilquin</t>
        </is>
      </c>
      <c r="D71" s="6" t="inlineStr">
        <is>
          <t>Jean-François Tilquin</t>
        </is>
      </c>
      <c r="E71" s="6" t="inlineStr">
        <is>
          <t>Romain Andrieu</t>
        </is>
      </c>
      <c r="F71" s="6" t="inlineStr">
        <is>
          <t>Dossier soumis interne 18/11/2025. DG/élus attendent initiative publique défense. Pas de capacité 2025/Q1 2026. Conseil admin sceptique sur P-E, préfère fonds de dettes, renvoi 2026. Couvert par JF Copé, très peu de chance. Suivi à maintenir, tenir JF Tilquin informé. Pas d'autres actions récentes.</t>
        </is>
      </c>
      <c r="G71" s="6" t="inlineStr">
        <is>
          <t>KO</t>
        </is>
      </c>
      <c r="H71" s="6" t="inlineStr">
        <is>
          <t>07/10/2025</t>
        </is>
      </c>
      <c r="I71" s="6" t="inlineStr"/>
      <c r="J71" s="6">
        <f>ROUND(Z71/1000000,3)&amp;" M€"</f>
        <v/>
      </c>
      <c r="K71" s="6" t="inlineStr">
        <is>
          <t>0%</t>
        </is>
      </c>
      <c r="L71" s="6" t="inlineStr">
        <is>
          <t>Autre</t>
        </is>
      </c>
      <c r="Z71" t="n">
        <v>0</v>
      </c>
    </row>
    <row r="72" ht="60" customHeight="1">
      <c r="A72" s="4" t="inlineStr">
        <is>
          <t>DEEPTECH - Exergon</t>
        </is>
      </c>
      <c r="B72" s="4" t="inlineStr">
        <is>
          <t>Corporate</t>
        </is>
      </c>
      <c r="C72" s="4" t="inlineStr">
        <is>
          <t>Hydro Rein AS, Frederic Grosse</t>
        </is>
      </c>
      <c r="D72" s="4" t="inlineStr">
        <is>
          <t>Frederic Grosse</t>
        </is>
      </c>
      <c r="E72" s="4" t="inlineStr">
        <is>
          <t>Romain Andrieu</t>
        </is>
      </c>
      <c r="F72" s="4" t="inlineStr">
        <is>
          <t>Prospect contacté, retour reçu : pas de perspective d’investissement pour nos fonds. Nouvelle piste créée pour équipe Ventes. Aucun engagement ou action future prévue, pas d’activité complémentaire ni de prochaine étape identifiée à ce stade.</t>
        </is>
      </c>
      <c r="G72" s="4" t="inlineStr">
        <is>
          <t>OK</t>
        </is>
      </c>
      <c r="H72" s="4" t="inlineStr">
        <is>
          <t>07/05/2025</t>
        </is>
      </c>
      <c r="I72" s="4" t="inlineStr"/>
      <c r="J72" s="4">
        <f>ROUND(Z72/1000000,3)&amp;" M€"</f>
        <v/>
      </c>
      <c r="K72" s="4" t="inlineStr">
        <is>
          <t>10%</t>
        </is>
      </c>
      <c r="L72" s="4" t="inlineStr">
        <is>
          <t>Autre</t>
        </is>
      </c>
      <c r="Z72" t="n">
        <v>0</v>
      </c>
    </row>
    <row r="73" ht="60" customHeight="1">
      <c r="A73" s="6" t="inlineStr">
        <is>
          <t>DEEPTECH - Exergon</t>
        </is>
      </c>
      <c r="B73" s="6" t="inlineStr">
        <is>
          <t>Corporate</t>
        </is>
      </c>
      <c r="C73" s="6" t="inlineStr">
        <is>
          <t>GTT- Gaztransport et Technigaz, Helene LONCIN</t>
        </is>
      </c>
      <c r="D73" s="6" t="inlineStr">
        <is>
          <t>Helene LONCIN</t>
        </is>
      </c>
      <c r="E73" s="6" t="inlineStr">
        <is>
          <t>Romain Andrieu</t>
        </is>
      </c>
      <c r="F73" s="6" t="inlineStr">
        <is>
          <t>Focus Hydro (CLADERION) : prospect réduit l'enveloppe hydrogène, décision attendue fin avril 2025 sur mandat fonds de fonds. Pas d'autres actions ou retours récents, aucune activité planifiée ni échanges complémentaires identifiés à ce jour.</t>
        </is>
      </c>
      <c r="G73" s="6" t="inlineStr">
        <is>
          <t>KO</t>
        </is>
      </c>
      <c r="H73" s="6" t="inlineStr">
        <is>
          <t>13/03/2025</t>
        </is>
      </c>
      <c r="I73" s="6" t="inlineStr"/>
      <c r="J73" s="6">
        <f>ROUND(Z73/1000000,3)&amp;" M€"</f>
        <v/>
      </c>
      <c r="K73" s="6" t="inlineStr">
        <is>
          <t>0%</t>
        </is>
      </c>
      <c r="L73" s="6" t="inlineStr">
        <is>
          <t>Autre</t>
        </is>
      </c>
      <c r="Z73" t="n">
        <v>0</v>
      </c>
    </row>
    <row r="74" ht="60" customHeight="1">
      <c r="A74" s="4" t="inlineStr">
        <is>
          <t>DEEPTECH - Exergon</t>
        </is>
      </c>
      <c r="B74" s="4" t="inlineStr">
        <is>
          <t>Société de gestion</t>
        </is>
      </c>
      <c r="C74" s="4" t="inlineStr">
        <is>
          <t>GRONDEX, Joost Pennings</t>
        </is>
      </c>
      <c r="D74" s="4" t="inlineStr">
        <is>
          <t>Joost Pennings</t>
        </is>
      </c>
      <c r="E74" s="4" t="inlineStr">
        <is>
          <t>Romain Andrieu</t>
        </is>
      </c>
      <c r="F74" s="4" t="inlineStr">
        <is>
          <t>Prospect intéressé par le quantique mais ne répond plus. Derniers échanges le 09/06/2026, aucun retour depuis. Pas d'activité récente, pas de prochaine étape planifiée, aucune conclusion du prospect sur les fonds présentés. Suivi à relancer, aucune activité prévue à ce jour.</t>
        </is>
      </c>
      <c r="G74" s="4" t="inlineStr">
        <is>
          <t>KO</t>
        </is>
      </c>
      <c r="H74" s="4" t="inlineStr">
        <is>
          <t>04/06/2025</t>
        </is>
      </c>
      <c r="I74" s="4" t="inlineStr"/>
      <c r="J74" s="4">
        <f>ROUND(Z74/1000000,3)&amp;" M€"</f>
        <v/>
      </c>
      <c r="K74" s="4" t="inlineStr">
        <is>
          <t>0%</t>
        </is>
      </c>
      <c r="L74" s="4" t="inlineStr">
        <is>
          <t>Autre</t>
        </is>
      </c>
      <c r="Z74" t="n">
        <v>0</v>
      </c>
    </row>
    <row r="75" ht="60" customHeight="1">
      <c r="A75" s="6" t="inlineStr">
        <is>
          <t>DEEPTECH - Exergon</t>
        </is>
      </c>
      <c r="B75" s="6" t="inlineStr">
        <is>
          <t>Fonds de pension</t>
        </is>
      </c>
      <c r="C75" s="6" t="inlineStr">
        <is>
          <t>Government Pension Fund-Norway, Bjarte Espedal</t>
        </is>
      </c>
      <c r="D75" s="6" t="inlineStr">
        <is>
          <t>Bjarte Espedal</t>
        </is>
      </c>
      <c r="E75" s="6" t="inlineStr">
        <is>
          <t>Romain Andrieu</t>
        </is>
      </c>
      <c r="F75" s="6" t="inlineStr">
        <is>
          <t>Demande de RDV Oslo restée sans réponse, tentative d'enrichissement lead impossible (email invalide), aucune autre activité ou retour prospect. Pas d'action ou de suivi significatif, aucune prochaine étape identifiée. Aucun retour sur fonds présentés ni conclusion prospect.</t>
        </is>
      </c>
      <c r="G75" s="6" t="inlineStr">
        <is>
          <t>OK</t>
        </is>
      </c>
      <c r="H75" s="6" t="inlineStr">
        <is>
          <t>24/09/2025</t>
        </is>
      </c>
      <c r="I75" s="6" t="inlineStr"/>
      <c r="J75" s="6">
        <f>ROUND(Z75/1000000,3)&amp;" M€"</f>
        <v/>
      </c>
      <c r="K75" s="6" t="inlineStr">
        <is>
          <t>10%</t>
        </is>
      </c>
      <c r="L75" s="6" t="inlineStr">
        <is>
          <t>Autre</t>
        </is>
      </c>
      <c r="Z75" t="n">
        <v>0</v>
      </c>
    </row>
    <row r="76" ht="60" customHeight="1">
      <c r="A76" s="4" t="inlineStr">
        <is>
          <t>DEEPTECH - Exergon</t>
        </is>
      </c>
      <c r="B76" s="4" t="inlineStr">
        <is>
          <t>Banque (haut de bilan)</t>
        </is>
      </c>
      <c r="C76" s="4" t="inlineStr">
        <is>
          <t>GOLDMAN SACHS, Franck Straeter</t>
        </is>
      </c>
      <c r="D76" s="4" t="inlineStr">
        <is>
          <t>Franck Straeter</t>
        </is>
      </c>
      <c r="E76" s="4" t="inlineStr">
        <is>
          <t>Romain Andrieu</t>
        </is>
      </c>
      <c r="F76" s="4" t="inlineStr">
        <is>
          <t>Suivi récent : création piste pour équipe Ventes, mention d'un follow up Light/Eco-system. Aucun échange détaillé, pas d'activité enregistrée, pas de retour prospect, pas de prochaine étape planifiée. Aucun avis prospect ni conclusion sur fonds présentés. Pas d'autres actions notables.</t>
        </is>
      </c>
      <c r="G76" s="4" t="inlineStr">
        <is>
          <t>OK</t>
        </is>
      </c>
      <c r="H76" s="4" t="inlineStr">
        <is>
          <t>07/04/2025</t>
        </is>
      </c>
      <c r="I76" s="4" t="inlineStr"/>
      <c r="J76" s="4">
        <f>ROUND(Z76/1000000,3)&amp;" M€"</f>
        <v/>
      </c>
      <c r="K76" s="4" t="inlineStr">
        <is>
          <t>10%</t>
        </is>
      </c>
      <c r="L76" s="4" t="inlineStr">
        <is>
          <t>Autre</t>
        </is>
      </c>
      <c r="Z76" t="n">
        <v>0</v>
      </c>
    </row>
    <row r="77" ht="60" customHeight="1">
      <c r="A77" s="6" t="inlineStr">
        <is>
          <t>DEEPTECH - Exergon</t>
        </is>
      </c>
      <c r="B77" s="6" t="inlineStr">
        <is>
          <t>Fonds de pension</t>
        </is>
      </c>
      <c r="C77" s="6" t="inlineStr">
        <is>
          <t>Gjensidige Stiftelsen, Kahle Holter</t>
        </is>
      </c>
      <c r="D77" s="6" t="inlineStr">
        <is>
          <t>Kahle Holter</t>
        </is>
      </c>
      <c r="E77" s="6" t="inlineStr">
        <is>
          <t>Romain Andrieu</t>
        </is>
      </c>
      <c r="F77" s="6" t="inlineStr">
        <is>
          <t>EXERGON rejeté (nucléaire trop sensible). Relance prévue : repitch à organiser, proposition de RDV faite pour roadshow fin 2026, pas de réponse reçue. Pas d'autres retours ni activité récente. Prochaine étape : obtenir retour sur RDV proposé, recontacter si absence de réponse.</t>
        </is>
      </c>
      <c r="G77" s="6" t="inlineStr">
        <is>
          <t>KO</t>
        </is>
      </c>
      <c r="H77" s="6" t="inlineStr">
        <is>
          <t>14/10/2025</t>
        </is>
      </c>
      <c r="I77" s="6" t="inlineStr"/>
      <c r="J77" s="6">
        <f>ROUND(Z77/1000000,3)&amp;" M€"</f>
        <v/>
      </c>
      <c r="K77" s="6" t="inlineStr">
        <is>
          <t>0%</t>
        </is>
      </c>
      <c r="L77" s="6" t="inlineStr">
        <is>
          <t>Autre</t>
        </is>
      </c>
      <c r="Z77" t="n">
        <v>0</v>
      </c>
    </row>
    <row r="78" ht="60" customHeight="1">
      <c r="A78" s="4" t="inlineStr">
        <is>
          <t>DEEPTECH - Exergon</t>
        </is>
      </c>
      <c r="B78" s="4" t="inlineStr">
        <is>
          <t>Société de gestion</t>
        </is>
      </c>
      <c r="C78" s="4" t="inlineStr">
        <is>
          <t>FORMUE, Jan NYLUND</t>
        </is>
      </c>
      <c r="D78" s="4" t="inlineStr">
        <is>
          <t>Jan NYLUND</t>
        </is>
      </c>
      <c r="E78" s="4" t="inlineStr">
        <is>
          <t>Levée de Fonds</t>
        </is>
      </c>
      <c r="F78" s="4" t="inlineStr">
        <is>
          <t>Relance pour roadshow, Oslo : peu d'intérêt (génération 2 ou 3, rien avant). Paul Ringholm succède à PKH en mai 2025 comme CIO. Dernier retour : pas d'intérêt pour la VC. Aucun engagement prospect, pas d'action prévue. Pas de prochaine étape identifiée à ce stade.</t>
        </is>
      </c>
      <c r="G78" s="4" t="inlineStr">
        <is>
          <t>OK</t>
        </is>
      </c>
      <c r="H78" s="4" t="inlineStr">
        <is>
          <t>13/11/2025</t>
        </is>
      </c>
      <c r="I78" s="4" t="inlineStr"/>
      <c r="J78" s="4">
        <f>ROUND(Z78/1000000,3)&amp;" M€"</f>
        <v/>
      </c>
      <c r="K78" s="4" t="inlineStr">
        <is>
          <t>10%</t>
        </is>
      </c>
      <c r="L78" s="4" t="inlineStr">
        <is>
          <t>Autre</t>
        </is>
      </c>
      <c r="Z78" t="n">
        <v>0</v>
      </c>
    </row>
    <row r="79" ht="60" customHeight="1">
      <c r="A79" s="6" t="inlineStr">
        <is>
          <t>DEEPTECH - Exergon</t>
        </is>
      </c>
      <c r="B79" s="6" t="inlineStr">
        <is>
          <t>Assurance/Mutuelle</t>
        </is>
      </c>
      <c r="C79" s="6" t="inlineStr">
        <is>
          <t>FONDO ITALIANO D'INVESTIMENTO SGR SPA, Luigi Tommasini</t>
        </is>
      </c>
      <c r="D79" s="6" t="inlineStr">
        <is>
          <t>Luigi Tommasini</t>
        </is>
      </c>
      <c r="E79" s="6" t="inlineStr">
        <is>
          <t>Romain Andrieu</t>
        </is>
      </c>
      <c r="F79" s="6" t="inlineStr">
        <is>
          <t>Aucune activité significative menée sur le prospect. Tentative d'enrichissement du lead échouée (email invalide). Aucun échange, appel ou action de suivi enregistrés. Pas de retour ni d'avis prospect sur les fonds présentés. Prochaines étapes non planifiées, aucun engagement identifié à ce jour.</t>
        </is>
      </c>
      <c r="G79" s="6" t="inlineStr">
        <is>
          <t>OK</t>
        </is>
      </c>
      <c r="H79" s="6" t="inlineStr">
        <is>
          <t>27/10/2025</t>
        </is>
      </c>
      <c r="I79" s="6" t="inlineStr"/>
      <c r="J79" s="6">
        <f>ROUND(Z79/1000000,3)&amp;" M€"</f>
        <v/>
      </c>
      <c r="K79" s="6" t="inlineStr">
        <is>
          <t>10%</t>
        </is>
      </c>
      <c r="L79" s="6" t="inlineStr">
        <is>
          <t>Autre</t>
        </is>
      </c>
      <c r="Z79" t="n">
        <v>0</v>
      </c>
    </row>
    <row r="80" ht="60" customHeight="1">
      <c r="A80" s="4" t="inlineStr">
        <is>
          <t>DEEPTECH - Exergon</t>
        </is>
      </c>
      <c r="B80" s="4" t="inlineStr">
        <is>
          <t>Fonds de fonds</t>
        </is>
      </c>
      <c r="C80" s="4" t="inlineStr">
        <is>
          <t>Ficantieri, Paolo Cerioli</t>
        </is>
      </c>
      <c r="D80" s="4" t="inlineStr">
        <is>
          <t>Paolo Cerioli</t>
        </is>
      </c>
      <c r="E80" s="4" t="inlineStr">
        <is>
          <t>Romain Andrieu</t>
        </is>
      </c>
      <c r="F80" s="4" t="inlineStr">
        <is>
          <t>Dernière action : message "À relancer" le 09/06/2026. Aucun autre échange ou activité récente enregistrée, pas de retour prospect ni d'information sur fonds présentés. Prochaine étape : relance à prévoir. Pas d'autres actions ou conclusions notables à ce jour.</t>
        </is>
      </c>
      <c r="G80" s="4" t="inlineStr">
        <is>
          <t>OK</t>
        </is>
      </c>
      <c r="H80" s="4" t="inlineStr">
        <is>
          <t>27/05/2025</t>
        </is>
      </c>
      <c r="I80" s="4" t="inlineStr"/>
      <c r="J80" s="4">
        <f>ROUND(Z80/1000000,3)&amp;" M€"</f>
        <v/>
      </c>
      <c r="K80" s="4" t="inlineStr">
        <is>
          <t>10%</t>
        </is>
      </c>
      <c r="L80" s="4" t="inlineStr">
        <is>
          <t>Autre</t>
        </is>
      </c>
      <c r="Z80" t="n">
        <v>0</v>
      </c>
    </row>
    <row r="81" ht="60" customHeight="1">
      <c r="A81" s="6" t="inlineStr">
        <is>
          <t>DEEPTECH - Exergon</t>
        </is>
      </c>
      <c r="B81" s="6" t="inlineStr">
        <is>
          <t>Corporate</t>
        </is>
      </c>
      <c r="C81" s="6" t="inlineStr">
        <is>
          <t>Exolum, Ernesto Barroso Rams</t>
        </is>
      </c>
      <c r="D81" s="6" t="inlineStr">
        <is>
          <t>Ernesto Barroso Rams</t>
        </is>
      </c>
      <c r="E81" s="6" t="inlineStr">
        <is>
          <t>Romain Andrieu</t>
        </is>
      </c>
      <c r="F81" s="6" t="inlineStr">
        <is>
          <t>Exclusivité Calderion obtenue, dossier réouvert le 7 octobre. Aucun retour prospect sur fonds présentés, pas d'autres échanges ou actions récentes relevés. Prochaine étape : suivi à la réouverture en octobre. Pas d'autres activités ou conclusions notables à ce stade.</t>
        </is>
      </c>
      <c r="G81" s="6" t="inlineStr">
        <is>
          <t>KO</t>
        </is>
      </c>
      <c r="H81" s="6" t="inlineStr">
        <is>
          <t>08/10/2025</t>
        </is>
      </c>
      <c r="I81" s="6" t="inlineStr"/>
      <c r="J81" s="6">
        <f>ROUND(Z81/1000000,3)&amp;" M€"</f>
        <v/>
      </c>
      <c r="K81" s="6" t="inlineStr">
        <is>
          <t>0%</t>
        </is>
      </c>
      <c r="L81" s="6" t="inlineStr">
        <is>
          <t>Autre</t>
        </is>
      </c>
      <c r="Z81" t="n">
        <v>0</v>
      </c>
    </row>
    <row r="82" ht="60" customHeight="1">
      <c r="A82" s="4" t="inlineStr">
        <is>
          <t>DEEPTECH - Exergon</t>
        </is>
      </c>
      <c r="B82" s="4" t="inlineStr">
        <is>
          <t>Corporate</t>
        </is>
      </c>
      <c r="C82" s="4" t="inlineStr">
        <is>
          <t>EREN GROUPE, Pâris Mouratoglou</t>
        </is>
      </c>
      <c r="D82" s="4" t="inlineStr">
        <is>
          <t>Pâris Mouratoglou</t>
        </is>
      </c>
      <c r="E82" s="4" t="inlineStr">
        <is>
          <t>Romain Andrieu</t>
        </is>
      </c>
      <c r="F82" s="4" t="inlineStr">
        <is>
          <t>RDV Pivot fait, exclusivité Exergon en discussion. Tentative d'enrichissement lead échouée (email non valide). Aucun retour prospect sur fonds présentés, pas d'activité ou de suivi supplémentaire détecté. Prochaines étapes non planifiées, aucune activité programmée à ce jour.</t>
        </is>
      </c>
      <c r="G82" s="4" t="inlineStr">
        <is>
          <t>OK</t>
        </is>
      </c>
      <c r="H82" s="4" t="inlineStr">
        <is>
          <t>17/09/2025</t>
        </is>
      </c>
      <c r="I82" s="4" t="inlineStr"/>
      <c r="J82" s="4">
        <f>ROUND(Z82/1000000,3)&amp;" M€"</f>
        <v/>
      </c>
      <c r="K82" s="4" t="inlineStr">
        <is>
          <t>10%</t>
        </is>
      </c>
      <c r="L82" s="4" t="inlineStr">
        <is>
          <t>Autre</t>
        </is>
      </c>
      <c r="Z82" t="n">
        <v>0</v>
      </c>
    </row>
    <row r="83" ht="60" customHeight="1">
      <c r="A83" s="6" t="inlineStr">
        <is>
          <t>DEEPTECH - Exergon</t>
        </is>
      </c>
      <c r="B83" s="6" t="inlineStr">
        <is>
          <t>Corporate</t>
        </is>
      </c>
      <c r="C83" s="6" t="inlineStr">
        <is>
          <t>ERAMET, Jean-Loup LOYER</t>
        </is>
      </c>
      <c r="D83" s="6" t="inlineStr">
        <is>
          <t>Jean-Loup LOYER</t>
        </is>
      </c>
      <c r="E83" s="6" t="inlineStr">
        <is>
          <t>Romain Andrieu</t>
        </is>
      </c>
      <c r="F83" s="6" t="inlineStr">
        <is>
          <t>Prospect contacté, retour reçu : "Pas de capacité fonds de fonds". Aucun échange ou activité supplémentaire relevé, pas de suite prévue à ce stade. Pas d'autres interactions ou actions programmées, ni de retour positif sur les fonds présentés. Situation en attente, pas d'avancée récente.</t>
        </is>
      </c>
      <c r="G83" s="6" t="inlineStr">
        <is>
          <t>KO</t>
        </is>
      </c>
      <c r="H83" s="6" t="inlineStr">
        <is>
          <t>07/10/2025</t>
        </is>
      </c>
      <c r="I83" s="6" t="inlineStr"/>
      <c r="J83" s="6">
        <f>ROUND(Z83/1000000,3)&amp;" M€"</f>
        <v/>
      </c>
      <c r="K83" s="6" t="inlineStr">
        <is>
          <t>0%</t>
        </is>
      </c>
      <c r="L83" s="6" t="inlineStr">
        <is>
          <t>Autre</t>
        </is>
      </c>
      <c r="Z83" t="n">
        <v>0</v>
      </c>
    </row>
    <row r="84" ht="60" customHeight="1">
      <c r="A84" s="4" t="inlineStr">
        <is>
          <t>DEEPTECH - Exergon</t>
        </is>
      </c>
      <c r="B84" s="4" t="inlineStr">
        <is>
          <t>Corporate</t>
        </is>
      </c>
      <c r="C84" s="4" t="inlineStr">
        <is>
          <t>EQUINOR Asa (dont EQUINOR Ventures), Rafael ELIAS MANYARI VELAZCO</t>
        </is>
      </c>
      <c r="D84" s="4" t="inlineStr">
        <is>
          <t>Rafael ELIAS MANYARI VELAZCO</t>
        </is>
      </c>
      <c r="E84" s="4" t="inlineStr">
        <is>
          <t>Romain Andrieu</t>
        </is>
      </c>
      <c r="F84" s="4" t="inlineStr">
        <is>
          <t>RDV Pivot fait : lead Transition et Exergon. Prospects estiment trop d'overlap, aucune chance d'investissement dans le fonds. Poursuite des échanges envisagée uniquement pour du co-investissement. Pas d'autres actions ou prochaines étapes prévues à ce stade.</t>
        </is>
      </c>
      <c r="G84" s="4" t="inlineStr">
        <is>
          <t>KO</t>
        </is>
      </c>
      <c r="H84" s="4" t="inlineStr">
        <is>
          <t>12/11/2025</t>
        </is>
      </c>
      <c r="I84" s="4" t="inlineStr"/>
      <c r="J84" s="4">
        <f>ROUND(Z84/1000000,3)&amp;" M€"</f>
        <v/>
      </c>
      <c r="K84" s="4" t="inlineStr">
        <is>
          <t>0%</t>
        </is>
      </c>
      <c r="L84" s="4" t="inlineStr">
        <is>
          <t>Autre</t>
        </is>
      </c>
      <c r="Z84" t="n">
        <v>0</v>
      </c>
    </row>
    <row r="85" ht="60" customHeight="1">
      <c r="A85" s="6" t="inlineStr">
        <is>
          <t>DEEPTECH - Exergon</t>
        </is>
      </c>
      <c r="B85" s="6" t="inlineStr">
        <is>
          <t>Corporate</t>
        </is>
      </c>
      <c r="C85" s="6" t="inlineStr">
        <is>
          <t>ENEOS, Terry Kojima</t>
        </is>
      </c>
      <c r="D85" s="6" t="inlineStr">
        <is>
          <t>Terry Kojima</t>
        </is>
      </c>
      <c r="E85" s="6" t="inlineStr">
        <is>
          <t>Romain Andrieu</t>
        </is>
      </c>
      <c r="F85" s="6" t="inlineStr">
        <is>
          <t>Prospect a exprimé un intérêt marqué pour l'hydrogène (09/06). Aucun retour ou activité supplémentaire, pas de suivi téléphonique ni d'autres échanges détectés. Pas d'action planifiée ni de feedback détaillé sur les fonds présentés. Prochaines étapes à définir, attente d'un retour du prospect.</t>
        </is>
      </c>
      <c r="G85" s="6" t="inlineStr">
        <is>
          <t>KO</t>
        </is>
      </c>
      <c r="H85" s="6" t="inlineStr">
        <is>
          <t>09/09/2025</t>
        </is>
      </c>
      <c r="I85" s="6" t="inlineStr"/>
      <c r="J85" s="6">
        <f>ROUND(Z85/1000000,3)&amp;" M€"</f>
        <v/>
      </c>
      <c r="K85" s="6" t="inlineStr">
        <is>
          <t>0%</t>
        </is>
      </c>
      <c r="L85" s="6" t="inlineStr">
        <is>
          <t>Autre</t>
        </is>
      </c>
      <c r="Z85" t="n">
        <v>0</v>
      </c>
    </row>
    <row r="86" ht="60" customHeight="1">
      <c r="A86" s="4" t="inlineStr">
        <is>
          <t>DEEPTECH - Exergon</t>
        </is>
      </c>
      <c r="B86" s="4" t="inlineStr">
        <is>
          <t>Corporate</t>
        </is>
      </c>
      <c r="C86" s="4" t="inlineStr">
        <is>
          <t>EMBRAER-X, Leonardo GARNICA</t>
        </is>
      </c>
      <c r="D86" s="4" t="inlineStr">
        <is>
          <t>Leonardo GARNICA</t>
        </is>
      </c>
      <c r="E86" s="4" t="inlineStr">
        <is>
          <t>Romain Andrieu</t>
        </is>
      </c>
      <c r="F86" s="4" t="inlineStr">
        <is>
          <t>Intérêt initial pour nouveaux matériaux, envoi du deck Calderion prévu pour approfondir. Relance effectuée, plus de réponse du prospect. Un message indique un désintérêt. Aucune activité récente ou prochaine étape planifiée. Aucun retour prospect sur fonds présentés. Pas d'autres interactions notables.</t>
        </is>
      </c>
      <c r="G86" s="4" t="inlineStr">
        <is>
          <t>KO</t>
        </is>
      </c>
      <c r="H86" s="4" t="inlineStr">
        <is>
          <t>18/04/2025</t>
        </is>
      </c>
      <c r="I86" s="4" t="inlineStr"/>
      <c r="J86" s="4">
        <f>ROUND(Z86/1000000,3)&amp;" M€"</f>
        <v/>
      </c>
      <c r="K86" s="4" t="inlineStr">
        <is>
          <t>0%</t>
        </is>
      </c>
      <c r="L86" s="4" t="inlineStr">
        <is>
          <t>Autre</t>
        </is>
      </c>
      <c r="Z86" t="n">
        <v>0</v>
      </c>
    </row>
    <row r="87" ht="60" customHeight="1">
      <c r="A87" s="6" t="inlineStr">
        <is>
          <t>DEEPTECH - Exergon</t>
        </is>
      </c>
      <c r="B87" s="6" t="inlineStr">
        <is>
          <t>Public</t>
        </is>
      </c>
      <c r="C87" s="6" t="inlineStr">
        <is>
          <t>EIFO - Vaeskfondens, Ida-Maria DAHL HOM</t>
        </is>
      </c>
      <c r="D87" s="6" t="inlineStr">
        <is>
          <t>Ida-Maria DAHL HOM</t>
        </is>
      </c>
      <c r="E87" s="6" t="inlineStr">
        <is>
          <t>Romain Andrieu</t>
        </is>
      </c>
      <c r="F87" s="6" t="inlineStr">
        <is>
          <t>Nouvelle piste créée pour équipe Ventes. EIFO demande "geo return" (engagements non contractuels), retour sous réserve de confirmation. Pas d'autres actions ni retours prospect détaillés. Prochaine étape : confirmer la position EIFO sur le "geo return". Pas d'activité supplémentaire enregistrée.</t>
        </is>
      </c>
      <c r="G87" s="6" t="inlineStr">
        <is>
          <t>KO</t>
        </is>
      </c>
      <c r="H87" s="6" t="inlineStr">
        <is>
          <t>10/10/2025</t>
        </is>
      </c>
      <c r="I87" s="6" t="inlineStr"/>
      <c r="J87" s="6">
        <f>ROUND(Z87/1000000,3)&amp;" M€"</f>
        <v/>
      </c>
      <c r="K87" s="6" t="inlineStr">
        <is>
          <t>0%</t>
        </is>
      </c>
      <c r="L87" s="6" t="inlineStr">
        <is>
          <t>Autre</t>
        </is>
      </c>
      <c r="Z87" t="n">
        <v>0</v>
      </c>
    </row>
    <row r="88" ht="60" customHeight="1">
      <c r="A88" s="4" t="inlineStr">
        <is>
          <t>DEEPTECH - Exergon</t>
        </is>
      </c>
      <c r="B88" s="4" t="inlineStr">
        <is>
          <t>Conseil</t>
        </is>
      </c>
      <c r="C88" s="4" t="inlineStr">
        <is>
          <t>EIF, Jérôme Bricart</t>
        </is>
      </c>
      <c r="D88" s="4" t="inlineStr">
        <is>
          <t>Jérôme Bricart</t>
        </is>
      </c>
      <c r="E88" s="4" t="inlineStr">
        <is>
          <t>Romain Andrieu</t>
        </is>
      </c>
      <c r="F88" s="4" t="inlineStr">
        <is>
          <t>RDV Pivot réalisé, lead transmis à Transition et Exergon, instruction lancée. Aucun retour prospect sur fonds présenté. Pas d'autres activités ou messages récents. Prochaines étapes non précisées, aucune action planifiée à ce jour. Suivi à renforcer si avancée souhaitée.</t>
        </is>
      </c>
      <c r="G88" s="4" t="inlineStr">
        <is>
          <t>KO</t>
        </is>
      </c>
      <c r="H88" s="4" t="inlineStr">
        <is>
          <t>08/10/2025</t>
        </is>
      </c>
      <c r="I88" s="4" t="inlineStr"/>
      <c r="J88" s="4">
        <f>ROUND(Z88/1000000,3)&amp;" M€"</f>
        <v/>
      </c>
      <c r="K88" s="4" t="inlineStr">
        <is>
          <t>0%</t>
        </is>
      </c>
      <c r="L88" s="4" t="inlineStr">
        <is>
          <t>Autre</t>
        </is>
      </c>
      <c r="Z88" t="n">
        <v>0</v>
      </c>
    </row>
    <row r="89" ht="60" customHeight="1">
      <c r="A89" s="6" t="inlineStr">
        <is>
          <t>DEEPTECH - Exergon</t>
        </is>
      </c>
      <c r="B89" s="6" t="inlineStr">
        <is>
          <t>Société de gestion</t>
        </is>
      </c>
      <c r="C89" s="6" t="inlineStr">
        <is>
          <t>EDP VENTURES, Luis-Manuel SANTOS</t>
        </is>
      </c>
      <c r="D89" s="6" t="inlineStr">
        <is>
          <t>Luis-Manuel SANTOS</t>
        </is>
      </c>
      <c r="E89" s="6" t="inlineStr">
        <is>
          <t>Romain Andrieu</t>
        </is>
      </c>
      <c r="F89" s="6" t="inlineStr">
        <is>
          <t>Prospect intéressé uniquement par CLADERION, aucun intérêt pour le Nouveau Nucléaire. Aucun échange ou activité récente supplémentaire détectée, pas de prochaine étape planifiée ni de retour complémentaire. Pas d'autres conclusions ou actions à signaler à ce stade.</t>
        </is>
      </c>
      <c r="G89" s="6" t="inlineStr">
        <is>
          <t>KO</t>
        </is>
      </c>
      <c r="H89" s="6" t="inlineStr">
        <is>
          <t>08/10/2025</t>
        </is>
      </c>
      <c r="I89" s="6" t="inlineStr"/>
      <c r="J89" s="6">
        <f>ROUND(Z89/1000000,3)&amp;" M€"</f>
        <v/>
      </c>
      <c r="K89" s="6" t="inlineStr">
        <is>
          <t>0%</t>
        </is>
      </c>
      <c r="L89" s="6" t="inlineStr">
        <is>
          <t>Autre</t>
        </is>
      </c>
      <c r="Z89" t="n">
        <v>0</v>
      </c>
    </row>
    <row r="90" ht="60" customHeight="1">
      <c r="A90" s="4" t="inlineStr">
        <is>
          <t>DEEPTECH - Exergon</t>
        </is>
      </c>
      <c r="B90" s="4" t="inlineStr">
        <is>
          <t>Banque (haut de bilan)</t>
        </is>
      </c>
      <c r="C90" s="4" t="inlineStr">
        <is>
          <t>Expert Development Canada, Olga Vovk</t>
        </is>
      </c>
      <c r="D90" s="4" t="inlineStr">
        <is>
          <t>Olga Vovk</t>
        </is>
      </c>
      <c r="E90" s="4" t="inlineStr">
        <is>
          <t>Romain Andrieu</t>
        </is>
      </c>
      <c r="F90" s="5" t="inlineStr">
        <is>
          <t>Aucune activité ni échange enregistré avec le prospect. Aucun message, appel ou action passée ou à venir. Prochaine étape : premier contact à planifier.</t>
        </is>
      </c>
      <c r="G90" s="4" t="inlineStr">
        <is>
          <t>OK</t>
        </is>
      </c>
      <c r="H90" s="5" t="inlineStr">
        <is>
          <t>30/06/2026</t>
        </is>
      </c>
      <c r="I90" s="4" t="inlineStr">
        <is>
          <t>à relancer en septembre 2026</t>
        </is>
      </c>
      <c r="J90" s="4">
        <f>ROUND(Z90/1000000,3)&amp;" M€"</f>
        <v/>
      </c>
      <c r="K90" s="4" t="inlineStr">
        <is>
          <t>10%</t>
        </is>
      </c>
      <c r="L90" s="5" t="inlineStr">
        <is>
          <t>Semaine passée</t>
        </is>
      </c>
      <c r="Z90" t="n">
        <v>0</v>
      </c>
    </row>
    <row r="91" ht="60" customHeight="1">
      <c r="A91" s="6" t="inlineStr">
        <is>
          <t>DEEPTECH - Exergon</t>
        </is>
      </c>
      <c r="B91" s="6" t="inlineStr">
        <is>
          <t>Société de gestion</t>
        </is>
      </c>
      <c r="C91" s="6" t="inlineStr">
        <is>
          <t>ECBF, Isabelle Laurencin</t>
        </is>
      </c>
      <c r="D91" s="6" t="inlineStr">
        <is>
          <t>Isabelle Laurencin</t>
        </is>
      </c>
      <c r="E91" s="6" t="inlineStr">
        <is>
          <t>Romain Andrieu</t>
        </is>
      </c>
      <c r="F91" s="6" t="inlineStr">
        <is>
          <t>CRR 21/11 : prospect pas intéressé par fonds de fonds mais ouvert aux thématiques. Decks Expansion/Exergon envoyés 22/11. Pas d'autres actions ou retours récents. Pas d'activité planifiée à ce jour. Suivi à relancer si besoin.</t>
        </is>
      </c>
      <c r="G91" s="6" t="inlineStr">
        <is>
          <t>KO</t>
        </is>
      </c>
      <c r="H91" s="6" t="inlineStr">
        <is>
          <t>22/11/2024</t>
        </is>
      </c>
      <c r="I91" s="6" t="inlineStr"/>
      <c r="J91" s="6">
        <f>ROUND(Z91/1000000,3)&amp;" M€"</f>
        <v/>
      </c>
      <c r="K91" s="6" t="inlineStr">
        <is>
          <t>0%</t>
        </is>
      </c>
      <c r="L91" s="6" t="inlineStr">
        <is>
          <t>Autre</t>
        </is>
      </c>
      <c r="Z91" t="n">
        <v>0</v>
      </c>
    </row>
    <row r="92" ht="60" customHeight="1">
      <c r="A92" s="4" t="inlineStr">
        <is>
          <t>DEEPTECH - Exergon</t>
        </is>
      </c>
      <c r="B92" s="4" t="inlineStr">
        <is>
          <t>Public</t>
        </is>
      </c>
      <c r="C92" s="4" t="inlineStr">
        <is>
          <t>DSTA, William Peh Boon Pin</t>
        </is>
      </c>
      <c r="D92" s="4" t="inlineStr">
        <is>
          <t>William Peh Boon Pin</t>
        </is>
      </c>
      <c r="E92" s="4" t="inlineStr">
        <is>
          <t>Levée de Fonds</t>
        </is>
      </c>
      <c r="F92" s="4" t="inlineStr">
        <is>
          <t>Nouvelle piste créée pour équipe Ventes. Tentative d'enrichissement du lead échouée : email non valide. Aucun échange, action ou retour prospect enregistré à ce jour. Pas d'activité ni de suivi supplémentaire identifié. Prochaines étapes à définir, aucune action planifiée pour l'instant.</t>
        </is>
      </c>
      <c r="G92" s="4" t="inlineStr">
        <is>
          <t>KO</t>
        </is>
      </c>
      <c r="H92" s="4" t="inlineStr">
        <is>
          <t>20/10/2025</t>
        </is>
      </c>
      <c r="I92" s="4" t="inlineStr"/>
      <c r="J92" s="4">
        <f>ROUND(Z92/1000000,3)&amp;" M€"</f>
        <v/>
      </c>
      <c r="K92" s="4" t="inlineStr">
        <is>
          <t>0%</t>
        </is>
      </c>
      <c r="L92" s="4" t="inlineStr">
        <is>
          <t>Autre</t>
        </is>
      </c>
      <c r="Z92" t="n">
        <v>0</v>
      </c>
    </row>
    <row r="93" ht="60" customHeight="1">
      <c r="A93" s="6" t="inlineStr">
        <is>
          <t>DEEPTECH - Exergon</t>
        </is>
      </c>
      <c r="B93" s="6" t="inlineStr">
        <is>
          <t>Banque (haut de bilan)</t>
        </is>
      </c>
      <c r="C93" s="6" t="inlineStr">
        <is>
          <t>DNB, Jan Terje Aasgaard</t>
        </is>
      </c>
      <c r="D93" s="6" t="inlineStr">
        <is>
          <t>Jan Terje Aasgaard</t>
        </is>
      </c>
      <c r="E93" s="6" t="inlineStr">
        <is>
          <t>Romain Andrieu</t>
        </is>
      </c>
      <c r="F93" s="6" t="inlineStr">
        <is>
          <t>PE active, relances sans réponse du prospect. Nouvelle piste créée pour équipe Ventes, aucun retour ni interaction depuis. Pas d'activité récente, pas de suivi ni d'échange significatif constaté. Prochaines étapes : relance à prévoir, attente de réaction du prospect.</t>
        </is>
      </c>
      <c r="G93" s="6" t="inlineStr">
        <is>
          <t>KO</t>
        </is>
      </c>
      <c r="H93" s="6" t="inlineStr">
        <is>
          <t>15/10/2025</t>
        </is>
      </c>
      <c r="I93" s="6" t="inlineStr"/>
      <c r="J93" s="6">
        <f>ROUND(Z93/1000000,3)&amp;" M€"</f>
        <v/>
      </c>
      <c r="K93" s="6" t="inlineStr">
        <is>
          <t>0%</t>
        </is>
      </c>
      <c r="L93" s="6" t="inlineStr">
        <is>
          <t>Autre</t>
        </is>
      </c>
      <c r="Z93" t="n">
        <v>0</v>
      </c>
    </row>
    <row r="94" ht="60" customHeight="1">
      <c r="A94" s="4" t="inlineStr">
        <is>
          <t>DEEPTECH - Exergon</t>
        </is>
      </c>
      <c r="B94" s="4" t="inlineStr">
        <is>
          <t>Banque privée</t>
        </is>
      </c>
      <c r="C94" s="4" t="inlineStr">
        <is>
          <t>DELUBAC &amp; CIE, Côme de Bagneux</t>
        </is>
      </c>
      <c r="D94" s="4" t="inlineStr">
        <is>
          <t>Côme de Bagneux</t>
        </is>
      </c>
      <c r="E94" s="4" t="inlineStr">
        <is>
          <t>Romain Andrieu</t>
        </is>
      </c>
      <c r="F94" s="4" t="inlineStr">
        <is>
          <t>RDV mars, Delubac n'a plus de fonds, création de leur SGP en cours. Pas d'enrichissement possible via email. Aucune activité ou action future planifiée. Pas de retour prospect sur fonds présentés. Aucun suivi supplémentaire indiqué à ce jour.</t>
        </is>
      </c>
      <c r="G94" s="4" t="inlineStr">
        <is>
          <t>OK</t>
        </is>
      </c>
      <c r="H94" s="4" t="inlineStr">
        <is>
          <t>18/03/2025</t>
        </is>
      </c>
      <c r="I94" s="4" t="inlineStr"/>
      <c r="J94" s="4">
        <f>ROUND(Z94/1000000,3)&amp;" M€"</f>
        <v/>
      </c>
      <c r="K94" s="4" t="inlineStr">
        <is>
          <t>10%</t>
        </is>
      </c>
      <c r="L94" s="4" t="inlineStr">
        <is>
          <t>Autre</t>
        </is>
      </c>
      <c r="Z94" t="n">
        <v>0</v>
      </c>
    </row>
    <row r="95" ht="60" customHeight="1">
      <c r="A95" s="6" t="inlineStr">
        <is>
          <t>DEEPTECH - Exergon</t>
        </is>
      </c>
      <c r="B95" s="6" t="inlineStr">
        <is>
          <t>Single Family Office</t>
        </is>
      </c>
      <c r="C95" s="6" t="inlineStr">
        <is>
          <t>Crescent, Caroline SOUCHET</t>
        </is>
      </c>
      <c r="D95" s="6" t="inlineStr">
        <is>
          <t>Caroline SOUCHET</t>
        </is>
      </c>
      <c r="E95" s="6" t="inlineStr">
        <is>
          <t>Romain Andrieu</t>
        </is>
      </c>
      <c r="F95" s="6" t="inlineStr">
        <is>
          <t>Relance envoyée le 09/06/2026 concernant le voyage à Dubai de GS (prévu le 7/05/2025), aucune réponse reçue à ce jour. Nouvelle piste créée pour l'équipe Ventes. Pas d'autres actions ou retours du prospect, prochaines étapes non définies faute de réponse.</t>
        </is>
      </c>
      <c r="G95" s="6" t="inlineStr">
        <is>
          <t>KO</t>
        </is>
      </c>
      <c r="H95" s="6" t="inlineStr">
        <is>
          <t>07/05/2025</t>
        </is>
      </c>
      <c r="I95" s="6" t="inlineStr"/>
      <c r="J95" s="6">
        <f>ROUND(Z95/1000000,3)&amp;" M€"</f>
        <v/>
      </c>
      <c r="K95" s="6" t="inlineStr">
        <is>
          <t>0%</t>
        </is>
      </c>
      <c r="L95" s="6" t="inlineStr">
        <is>
          <t>Autre</t>
        </is>
      </c>
      <c r="Z95" t="n">
        <v>0</v>
      </c>
    </row>
    <row r="96" ht="60" customHeight="1">
      <c r="A96" s="4" t="inlineStr">
        <is>
          <t>DEEPTECH - Exergon</t>
        </is>
      </c>
      <c r="B96" s="4" t="inlineStr">
        <is>
          <t>Banque (haut de bilan)</t>
        </is>
      </c>
      <c r="C96" s="4" t="inlineStr">
        <is>
          <t>Crédit Agricole d'Ile-de-France, Christophe JENNEQUIN</t>
        </is>
      </c>
      <c r="D96" s="4" t="inlineStr">
        <is>
          <t>Christophe JENNEQUIN</t>
        </is>
      </c>
      <c r="E96" s="4" t="inlineStr">
        <is>
          <t>Romain Andrieu</t>
        </is>
      </c>
      <c r="F96" s="4" t="inlineStr">
        <is>
          <t>Aucune activité menée sur le prospect. Crédit Agricole Île de France : groupe bancaire majeur, forte présence en Île-de-France, 10M clients, 39k collaborateurs, PNB &amp;gt;20Mds€. Dernier échange : proposition d’un point d’actualité à Christophe Jennequin (activité prévue 08/01/2026).</t>
        </is>
      </c>
      <c r="G96" s="4" t="inlineStr">
        <is>
          <t>OK</t>
        </is>
      </c>
      <c r="H96" s="4" t="inlineStr">
        <is>
          <t>02/12/2025</t>
        </is>
      </c>
      <c r="I96" s="4" t="inlineStr"/>
      <c r="J96" s="4">
        <f>ROUND(Z96/1000000,3)&amp;" M€"</f>
        <v/>
      </c>
      <c r="K96" s="4" t="inlineStr">
        <is>
          <t>10%</t>
        </is>
      </c>
      <c r="L96" s="4" t="inlineStr">
        <is>
          <t>Autre</t>
        </is>
      </c>
      <c r="Z96" t="n">
        <v>750000</v>
      </c>
    </row>
    <row r="97" ht="60" customHeight="1">
      <c r="A97" s="6" t="inlineStr">
        <is>
          <t>DEEPTECH - Exergon</t>
        </is>
      </c>
      <c r="B97" s="6" t="inlineStr">
        <is>
          <t>Banque (haut de bilan)</t>
        </is>
      </c>
      <c r="C97" s="6" t="inlineStr">
        <is>
          <t>CREDIT AGRICOLE ALSACE VOSGES, Arthur Gilbert</t>
        </is>
      </c>
      <c r="D97" s="6" t="inlineStr">
        <is>
          <t>Arthur Gilbert</t>
        </is>
      </c>
      <c r="E97" s="6" t="inlineStr">
        <is>
          <t>Romain Andrieu</t>
        </is>
      </c>
      <c r="F97" s="6" t="inlineStr">
        <is>
          <t>RDV présentation générale AUDACIA réalisé. Nouvelle piste créée pour équipe Ventes. Pas d'autres actions, retours ou prochaines étapes mentionnés. Aucun retour prospect ni conclusion sur fonds présentés. Aucune activité complémentaire enregistrée à ce jour.</t>
        </is>
      </c>
      <c r="G97" s="6" t="inlineStr">
        <is>
          <t>OK</t>
        </is>
      </c>
      <c r="H97" s="6" t="inlineStr">
        <is>
          <t>05/06/2025</t>
        </is>
      </c>
      <c r="I97" s="6" t="inlineStr"/>
      <c r="J97" s="6">
        <f>ROUND(Z97/1000000,3)&amp;" M€"</f>
        <v/>
      </c>
      <c r="K97" s="6" t="inlineStr">
        <is>
          <t>10%</t>
        </is>
      </c>
      <c r="L97" s="6" t="inlineStr">
        <is>
          <t>Autre</t>
        </is>
      </c>
      <c r="Z97" t="n">
        <v>0</v>
      </c>
    </row>
    <row r="98" ht="60" customHeight="1">
      <c r="A98" s="4" t="inlineStr">
        <is>
          <t>DEEPTECH - Exergon</t>
        </is>
      </c>
      <c r="B98" s="4" t="inlineStr">
        <is>
          <t>Assurance/Mutuelle</t>
        </is>
      </c>
      <c r="C98" s="4" t="inlineStr">
        <is>
          <t>CREDEM, Paolo Prizzuti</t>
        </is>
      </c>
      <c r="D98" s="4" t="inlineStr">
        <is>
          <t>Paolo Prizzuti</t>
        </is>
      </c>
      <c r="E98" s="4" t="inlineStr">
        <is>
          <t>Romain Andrieu</t>
        </is>
      </c>
      <c r="F98" s="4" t="inlineStr">
        <is>
          <t>500M€ dédiés PE, ouverture VC, capacité 2026 5-10M€/fonds, ok first time team. Investissement via fonds propres (pas de distribution retail VC). Présentation à caler, deck envoyé, intérêt pour autres thèses VC. Passage de relais à GS. Pas d'activité future planifiée à ce stade.</t>
        </is>
      </c>
      <c r="G98" s="4" t="inlineStr">
        <is>
          <t>OK</t>
        </is>
      </c>
      <c r="H98" s="4" t="inlineStr">
        <is>
          <t>27/10/2025</t>
        </is>
      </c>
      <c r="I98" s="4" t="inlineStr"/>
      <c r="J98" s="4">
        <f>ROUND(Z98/1000000,3)&amp;" M€"</f>
        <v/>
      </c>
      <c r="K98" s="4" t="inlineStr">
        <is>
          <t>10%</t>
        </is>
      </c>
      <c r="L98" s="4" t="inlineStr">
        <is>
          <t>Autre</t>
        </is>
      </c>
      <c r="Z98" t="n">
        <v>0</v>
      </c>
    </row>
    <row r="99" ht="60" customHeight="1">
      <c r="A99" s="6" t="inlineStr">
        <is>
          <t>DEEPTECH - Exergon</t>
        </is>
      </c>
      <c r="B99" s="6" t="inlineStr">
        <is>
          <t>Fonds de pension</t>
        </is>
      </c>
      <c r="C99" s="6" t="inlineStr">
        <is>
          <t>CONOCO PHILLIPS, Rønnaug Hillier</t>
        </is>
      </c>
      <c r="D99" s="6" t="inlineStr">
        <is>
          <t>Rønnaug Hillier</t>
        </is>
      </c>
      <c r="E99" s="6" t="inlineStr">
        <is>
          <t>Romain Andrieu</t>
        </is>
      </c>
      <c r="F99" s="5" t="inlineStr">
        <is>
          <t>Aucun échange ni activité enregistrés sur cette opportunité. Aucun avis du prospect, aucune action passée ou prévue. Prochaine étape : premier contact à planifier.</t>
        </is>
      </c>
      <c r="G99" s="6" t="inlineStr">
        <is>
          <t>OK</t>
        </is>
      </c>
      <c r="H99" s="5" t="inlineStr">
        <is>
          <t>30/06/2026</t>
        </is>
      </c>
      <c r="I99" s="6" t="inlineStr"/>
      <c r="J99" s="6">
        <f>ROUND(Z99/1000000,3)&amp;" M€"</f>
        <v/>
      </c>
      <c r="K99" s="6" t="inlineStr">
        <is>
          <t>10%</t>
        </is>
      </c>
      <c r="L99" s="5" t="inlineStr">
        <is>
          <t>Semaine passée</t>
        </is>
      </c>
      <c r="Z99" t="n">
        <v>0</v>
      </c>
    </row>
    <row r="100" ht="60" customHeight="1">
      <c r="A100" s="4" t="inlineStr">
        <is>
          <t>DEEPTECH - Exergon</t>
        </is>
      </c>
      <c r="B100" s="4" t="inlineStr">
        <is>
          <t>Société de gestion</t>
        </is>
      </c>
      <c r="C100" s="4" t="inlineStr">
        <is>
          <t>Crédit Mutuel Impact, Nathalie BOULAUD</t>
        </is>
      </c>
      <c r="D100" s="4" t="inlineStr">
        <is>
          <t>Nathalie BOULAUD</t>
        </is>
      </c>
      <c r="E100" s="4" t="inlineStr">
        <is>
          <t>Romain Andrieu</t>
        </is>
      </c>
      <c r="F100" s="4" t="inlineStr">
        <is>
          <t>Qualification en cours après 1er closing. Article 8, pas 9, à suivre. Nouvelle piste créée pour équipe Ventes. Pas d'autres actions ou retours prospect mentionnés. Prochaine étape : suivre l'évolution de la qualification et retour sur l'article 8.</t>
        </is>
      </c>
      <c r="G100" s="4" t="inlineStr">
        <is>
          <t>OK</t>
        </is>
      </c>
      <c r="H100" s="4" t="inlineStr">
        <is>
          <t>03/06/2025</t>
        </is>
      </c>
      <c r="I100" s="4" t="inlineStr"/>
      <c r="J100" s="4">
        <f>ROUND(Z100/1000000,3)&amp;" M€"</f>
        <v/>
      </c>
      <c r="K100" s="4" t="inlineStr">
        <is>
          <t>10%</t>
        </is>
      </c>
      <c r="L100" s="4" t="inlineStr">
        <is>
          <t>Autre</t>
        </is>
      </c>
      <c r="Z100" t="n">
        <v>0</v>
      </c>
    </row>
    <row r="101" ht="60" customHeight="1">
      <c r="A101" s="6" t="inlineStr">
        <is>
          <t>DEEPTECH - Exergon</t>
        </is>
      </c>
      <c r="B101" s="6" t="inlineStr">
        <is>
          <t>Public</t>
        </is>
      </c>
      <c r="C101" s="6" t="inlineStr">
        <is>
          <t>CDP Cassa Depositi e Prestiti, Emilia TAGLIATELA</t>
        </is>
      </c>
      <c r="D101" s="6" t="inlineStr">
        <is>
          <t>Emilia TAGLIATELA</t>
        </is>
      </c>
      <c r="E101" s="6" t="inlineStr">
        <is>
          <t>Romain Andrieu</t>
        </is>
      </c>
      <c r="F101" s="5" t="inlineStr">
        <is>
          <t>Aucune activité ni échange recensé avec le prospect. Aucun appel, message ou action réalisée ou prévue. Nécessite une action : premier contact à initier pour avancer sur l'opportunité.</t>
        </is>
      </c>
      <c r="G101" s="6" t="inlineStr">
        <is>
          <t>OK</t>
        </is>
      </c>
      <c r="H101" s="5" t="inlineStr">
        <is>
          <t>30/06/2026</t>
        </is>
      </c>
      <c r="I101" s="6" t="inlineStr"/>
      <c r="J101" s="6">
        <f>ROUND(Z101/1000000,3)&amp;" M€"</f>
        <v/>
      </c>
      <c r="K101" s="6" t="inlineStr">
        <is>
          <t>10%</t>
        </is>
      </c>
      <c r="L101" s="5" t="inlineStr">
        <is>
          <t>Semaine passée</t>
        </is>
      </c>
      <c r="Z101" t="n">
        <v>0</v>
      </c>
    </row>
    <row r="102" ht="60" customHeight="1">
      <c r="A102" s="4" t="inlineStr">
        <is>
          <t>DEEPTECH - Exergon</t>
        </is>
      </c>
      <c r="B102" s="4" t="inlineStr">
        <is>
          <t>Banque (haut de bilan)</t>
        </is>
      </c>
      <c r="C102" s="4" t="inlineStr">
        <is>
          <t>CREDIT AGRICOLE CORPORATE AND INVESTMENT BANK, Camille Houdard</t>
        </is>
      </c>
      <c r="D102" s="4" t="inlineStr">
        <is>
          <t>Camille Houdard</t>
        </is>
      </c>
      <c r="E102" s="4" t="inlineStr">
        <is>
          <t>Romain Andrieu</t>
        </is>
      </c>
      <c r="F102" s="4" t="inlineStr">
        <is>
          <t>Demande de rdv Oslo refusée : prospect en vacances, pas d'intérêt pour organiser un event à ce stade. Nouvelle piste créée pour équipe Ventes. Aucun retour positif ni action engagée, pas d'activité prévue. Suivi à relancer si évolution de l'intérêt du prospect.</t>
        </is>
      </c>
      <c r="G102" s="4" t="inlineStr">
        <is>
          <t>KO</t>
        </is>
      </c>
      <c r="H102" s="4" t="inlineStr">
        <is>
          <t>05/11/2025</t>
        </is>
      </c>
      <c r="I102" s="4" t="inlineStr"/>
      <c r="J102" s="4">
        <f>ROUND(Z102/1000000,3)&amp;" M€"</f>
        <v/>
      </c>
      <c r="K102" s="4" t="inlineStr">
        <is>
          <t>0%</t>
        </is>
      </c>
      <c r="L102" s="4" t="inlineStr">
        <is>
          <t>Autre</t>
        </is>
      </c>
      <c r="Z102" t="n">
        <v>0</v>
      </c>
    </row>
    <row r="103" ht="60" customHeight="1">
      <c r="A103" s="6" t="inlineStr">
        <is>
          <t>DEEPTECH - Exergon</t>
        </is>
      </c>
      <c r="B103" s="6" t="inlineStr">
        <is>
          <t>Public</t>
        </is>
      </c>
      <c r="C103" s="6" t="inlineStr">
        <is>
          <t>BPI, Mathias LEBOUVIER</t>
        </is>
      </c>
      <c r="D103" s="6" t="inlineStr">
        <is>
          <t>Mathias LEBOUVIER</t>
        </is>
      </c>
      <c r="E103" s="6" t="inlineStr">
        <is>
          <t>Romain Andrieu</t>
        </is>
      </c>
      <c r="F103" s="5" t="inlineStr">
        <is>
          <t>Pas de parrainage Tibi. RDV pivot à organiser avec BPI pour exposer la stratégie, forme du RDV à définir, GS avec PC pilote, mail à envoyer à BPI. Nouvelle piste créée pour équipe Ventes. Pas d'activité ni feedback prospect supplémentaire identifié.</t>
        </is>
      </c>
      <c r="G103" s="6" t="inlineStr">
        <is>
          <t>OK</t>
        </is>
      </c>
      <c r="H103" s="5" t="inlineStr">
        <is>
          <t>02/07/2026</t>
        </is>
      </c>
      <c r="I103" s="6" t="inlineStr"/>
      <c r="J103" s="6">
        <f>ROUND(Z103/1000000,3)&amp;" M€"</f>
        <v/>
      </c>
      <c r="K103" s="6" t="inlineStr">
        <is>
          <t>10%</t>
        </is>
      </c>
      <c r="L103" s="5" t="inlineStr">
        <is>
          <t>Semaine passée</t>
        </is>
      </c>
      <c r="Z103" t="n">
        <v>0</v>
      </c>
    </row>
    <row r="104" ht="60" customHeight="1">
      <c r="A104" s="4" t="inlineStr">
        <is>
          <t>DEEPTECH - Exergon</t>
        </is>
      </c>
      <c r="B104" s="4" t="inlineStr">
        <is>
          <t>Banque (haut de bilan)</t>
        </is>
      </c>
      <c r="C104" s="4" t="inlineStr">
        <is>
          <t>BANQUE POPULAIRE RIVE DE PARIS, Mélanie salomez</t>
        </is>
      </c>
      <c r="D104" s="4" t="inlineStr">
        <is>
          <t>Mélanie salomez</t>
        </is>
      </c>
      <c r="E104" s="4" t="inlineStr">
        <is>
          <t>Romain Andrieu</t>
        </is>
      </c>
      <c r="F104" s="4" t="inlineStr">
        <is>
          <t>BPCE Ass (via Flexstone) refuse l'offre, jugée trop précoce. Préfèrent early growth, mandat TIBI inclus. Intérêt pour Tech Buy Out, TIBI ou non, IRR attractif. Ticket visé 8M€. Aucune activité ou action future planifiée. Aucun suivi ou activité récente sur ce prospect.</t>
        </is>
      </c>
      <c r="G104" s="4" t="inlineStr">
        <is>
          <t>OK</t>
        </is>
      </c>
      <c r="H104" s="4" t="inlineStr">
        <is>
          <t>15/10/2025</t>
        </is>
      </c>
      <c r="I104" s="4" t="inlineStr"/>
      <c r="J104" s="4">
        <f>ROUND(Z104/1000000,3)&amp;" M€"</f>
        <v/>
      </c>
      <c r="K104" s="4" t="inlineStr">
        <is>
          <t>10%</t>
        </is>
      </c>
      <c r="L104" s="4" t="inlineStr">
        <is>
          <t>Autre</t>
        </is>
      </c>
      <c r="Z104" t="n">
        <v>0</v>
      </c>
    </row>
    <row r="105" ht="60" customHeight="1">
      <c r="A105" s="6" t="inlineStr">
        <is>
          <t>DEEPTECH - Exergon</t>
        </is>
      </c>
      <c r="B105" s="6" t="inlineStr">
        <is>
          <t>Corporate</t>
        </is>
      </c>
      <c r="C105" s="6" t="inlineStr">
        <is>
          <t>Bouygues Telecom, Charles Antoine Saltier</t>
        </is>
      </c>
      <c r="D105" s="6" t="inlineStr">
        <is>
          <t>Charles Antoine Saltier</t>
        </is>
      </c>
      <c r="E105" s="6" t="inlineStr">
        <is>
          <t>Romain Andrieu</t>
        </is>
      </c>
      <c r="F105" s="6" t="inlineStr">
        <is>
          <t>Mail d'intro Exergon envoyé 24/05/2024 après rencontre VivaTech. Pas d'autres échanges, enrichissement lead impossible, aucune activité ou retour prospect depuis. Prochaines étapes non définies, relance à prévoir si pas de réponse. Aucun avis ou conclusion prospect sur fonds présentés.</t>
        </is>
      </c>
      <c r="G105" s="6" t="inlineStr">
        <is>
          <t>OK</t>
        </is>
      </c>
      <c r="H105" s="6" t="inlineStr">
        <is>
          <t>24/05/2025</t>
        </is>
      </c>
      <c r="I105" s="6" t="inlineStr"/>
      <c r="J105" s="6">
        <f>ROUND(Z105/1000000,3)&amp;" M€"</f>
        <v/>
      </c>
      <c r="K105" s="6" t="inlineStr">
        <is>
          <t>10%</t>
        </is>
      </c>
      <c r="L105" s="6" t="inlineStr">
        <is>
          <t>Autre</t>
        </is>
      </c>
      <c r="Z105" t="n">
        <v>0</v>
      </c>
    </row>
    <row r="106" ht="60" customHeight="1">
      <c r="A106" s="4" t="inlineStr">
        <is>
          <t>DEEPTECH - Exergon</t>
        </is>
      </c>
      <c r="B106" s="4" t="inlineStr">
        <is>
          <t>Conseil</t>
        </is>
      </c>
      <c r="C106" s="4" t="inlineStr">
        <is>
          <t>Blue Cost Capital, Manoj Mistry</t>
        </is>
      </c>
      <c r="D106" s="4" t="inlineStr">
        <is>
          <t>Manoj Mistry</t>
        </is>
      </c>
      <c r="E106" s="4" t="inlineStr">
        <is>
          <t>Romain Andrieu</t>
        </is>
      </c>
      <c r="F106" s="4" t="inlineStr">
        <is>
          <t>Nouvelle piste créée pour équipe Ventes. Premier contact le 09/06/2026, prospect non intéressé, aucune suite prévue. Pas d'autres échanges, appels ou activités enregistrés. Aucun retour positif, pas d'action à venir identifiée. Situation figée, pas d'intérêt prospect.</t>
        </is>
      </c>
      <c r="G106" s="4" t="inlineStr">
        <is>
          <t>KO</t>
        </is>
      </c>
      <c r="H106" s="4" t="inlineStr">
        <is>
          <t>15/09/2025</t>
        </is>
      </c>
      <c r="I106" s="4" t="inlineStr"/>
      <c r="J106" s="4">
        <f>ROUND(Z106/1000000,3)&amp;" M€"</f>
        <v/>
      </c>
      <c r="K106" s="4" t="inlineStr">
        <is>
          <t>0%</t>
        </is>
      </c>
      <c r="L106" s="4" t="inlineStr">
        <is>
          <t>Autre</t>
        </is>
      </c>
      <c r="Z106" t="n">
        <v>0</v>
      </c>
    </row>
    <row r="107" ht="60" customHeight="1">
      <c r="A107" s="6" t="inlineStr">
        <is>
          <t>DEEPTECH - Exergon</t>
        </is>
      </c>
      <c r="B107" s="6" t="inlineStr">
        <is>
          <t>Assurance/Mutuelle</t>
        </is>
      </c>
      <c r="C107" s="6" t="inlineStr">
        <is>
          <t>BELFIUS INSURANCE, Didier Lamote</t>
        </is>
      </c>
      <c r="D107" s="6" t="inlineStr">
        <is>
          <t>Didier Lamote</t>
        </is>
      </c>
      <c r="E107" s="6" t="inlineStr">
        <is>
          <t>Romain Andrieu</t>
        </is>
      </c>
      <c r="F107" s="6" t="inlineStr">
        <is>
          <t>Prospect BELFIUS INSURANCE : création piste pour équipe Ventes. Retour prospect : pas d'intérêt pour la proposition, aucune suite envisagée. Aucune activité complémentaire, pas d'échange ou action ultérieure planifiée. Pas d'autres retours ou commentaires sur les fonds présentés.</t>
        </is>
      </c>
      <c r="G107" s="6" t="inlineStr">
        <is>
          <t>OK</t>
        </is>
      </c>
      <c r="H107" s="6" t="inlineStr">
        <is>
          <t>30/09/2024</t>
        </is>
      </c>
      <c r="I107" s="6" t="inlineStr"/>
      <c r="J107" s="6">
        <f>ROUND(Z107/1000000,3)&amp;" M€"</f>
        <v/>
      </c>
      <c r="K107" s="6" t="inlineStr">
        <is>
          <t>10%</t>
        </is>
      </c>
      <c r="L107" s="6" t="inlineStr">
        <is>
          <t>Autre</t>
        </is>
      </c>
      <c r="Z107" t="n">
        <v>0</v>
      </c>
    </row>
    <row r="108" ht="60" customHeight="1">
      <c r="A108" s="4" t="inlineStr">
        <is>
          <t>DEEPTECH - Exergon</t>
        </is>
      </c>
      <c r="B108" s="4" t="inlineStr">
        <is>
          <t>Banque (haut de bilan)</t>
        </is>
      </c>
      <c r="C108" s="4" t="inlineStr">
        <is>
          <t>BANCA D'ITALIA, Roberto Viloi</t>
        </is>
      </c>
      <c r="D108" s="4" t="inlineStr">
        <is>
          <t>Roberto Viloi</t>
        </is>
      </c>
      <c r="E108" s="4" t="inlineStr">
        <is>
          <t>Romain Andrieu</t>
        </is>
      </c>
      <c r="F108" s="4" t="inlineStr">
        <is>
          <t>Capacité élargie à 5-10% AuM, possible 15%. Vérification VC, ouverture au nucléaire. Si CDP participe, suivi probable. Deck transmis, attente retour. Passage de main à GS. Pas d'activité future planifiée ni de comité mentionné. Prospects ouverts, attente feedback suite envoi deck.</t>
        </is>
      </c>
      <c r="G108" s="4" t="inlineStr">
        <is>
          <t>OK</t>
        </is>
      </c>
      <c r="H108" s="4" t="inlineStr">
        <is>
          <t>27/10/2025</t>
        </is>
      </c>
      <c r="I108" s="4" t="inlineStr"/>
      <c r="J108" s="4">
        <f>ROUND(Z108/1000000,3)&amp;" M€"</f>
        <v/>
      </c>
      <c r="K108" s="4" t="inlineStr">
        <is>
          <t>10%</t>
        </is>
      </c>
      <c r="L108" s="4" t="inlineStr">
        <is>
          <t>Autre</t>
        </is>
      </c>
      <c r="Z108" t="n">
        <v>0</v>
      </c>
    </row>
    <row r="109" ht="60" customHeight="1">
      <c r="A109" s="6" t="inlineStr">
        <is>
          <t>DEEPTECH - Exergon</t>
        </is>
      </c>
      <c r="B109" s="6" t="inlineStr">
        <is>
          <t>Société de gestion</t>
        </is>
      </c>
      <c r="C109" s="6" t="inlineStr">
        <is>
          <t>AWI, Eric Thuillier</t>
        </is>
      </c>
      <c r="D109" s="6" t="inlineStr">
        <is>
          <t>Eric Thuillier</t>
        </is>
      </c>
      <c r="E109" s="6" t="inlineStr">
        <is>
          <t>Romain Andrieu</t>
        </is>
      </c>
      <c r="F109" s="6" t="inlineStr">
        <is>
          <t>14 propositions reçues, retard constaté, réponse attendue pour le 15/10/2025. Appel d’offre en cours, première décision prévue en octobre. LP : 50% Swiss, recherche de spécialiste en cours. Eric vise une enveloppe de 300M€. Pas d'autres activités ou retours récents identifiés.</t>
        </is>
      </c>
      <c r="G109" s="6" t="inlineStr">
        <is>
          <t>OK</t>
        </is>
      </c>
      <c r="H109" s="6" t="inlineStr">
        <is>
          <t>10/12/2025</t>
        </is>
      </c>
      <c r="I109" s="6" t="inlineStr"/>
      <c r="J109" s="6">
        <f>ROUND(Z109/1000000,3)&amp;" M€"</f>
        <v/>
      </c>
      <c r="K109" s="6" t="inlineStr">
        <is>
          <t>10%</t>
        </is>
      </c>
      <c r="L109" s="6" t="inlineStr">
        <is>
          <t>Autre</t>
        </is>
      </c>
      <c r="Z109" t="n">
        <v>0</v>
      </c>
    </row>
    <row r="110" ht="60" customHeight="1">
      <c r="A110" s="4" t="inlineStr">
        <is>
          <t>DEEPTECH - Exergon</t>
        </is>
      </c>
      <c r="B110" s="4" t="inlineStr">
        <is>
          <t>Société de gestion</t>
        </is>
      </c>
      <c r="C110" s="4" t="inlineStr">
        <is>
          <t>Aquila Capital, Johanna Guirola-frank</t>
        </is>
      </c>
      <c r="D110" s="4" t="inlineStr">
        <is>
          <t>Johanna Guirola-frank</t>
        </is>
      </c>
      <c r="E110" s="4" t="inlineStr">
        <is>
          <t>Romain Andrieu</t>
        </is>
      </c>
      <c r="F110" s="4" t="inlineStr">
        <is>
          <t>Pas de retour clair de René. Ils ont lancé un fonds de décarb infra. Aucun échange significatif récent, pas de nouvelles actions ou retours détaillés. Pas d'activité programmée ni de prochaine étape identifiée à ce jour. Suivi à relancer si besoin, attente de feedback prospect.</t>
        </is>
      </c>
      <c r="G110" s="4" t="inlineStr">
        <is>
          <t>OK</t>
        </is>
      </c>
      <c r="H110" s="4" t="inlineStr">
        <is>
          <t>25/03/2025</t>
        </is>
      </c>
      <c r="I110" s="4" t="inlineStr"/>
      <c r="J110" s="4">
        <f>ROUND(Z110/1000000,3)&amp;" M€"</f>
        <v/>
      </c>
      <c r="K110" s="4" t="inlineStr">
        <is>
          <t>10%</t>
        </is>
      </c>
      <c r="L110" s="4" t="inlineStr">
        <is>
          <t>Autre</t>
        </is>
      </c>
      <c r="Z110" t="n">
        <v>0</v>
      </c>
    </row>
    <row r="111" ht="60" customHeight="1">
      <c r="A111" s="6" t="inlineStr">
        <is>
          <t>DEEPTECH - Exergon</t>
        </is>
      </c>
      <c r="B111" s="6" t="inlineStr">
        <is>
          <t>Société de gestion</t>
        </is>
      </c>
      <c r="C111" s="6" t="inlineStr">
        <is>
          <t>Apres-Demain, Melvin Da Costa</t>
        </is>
      </c>
      <c r="D111" s="6" t="inlineStr">
        <is>
          <t>Melvin Da Costa</t>
        </is>
      </c>
      <c r="E111" s="6" t="inlineStr">
        <is>
          <t>Romain Andrieu</t>
        </is>
      </c>
      <c r="F111" s="6" t="inlineStr">
        <is>
          <t>RDV pivot le 17 avril, relance prévue, pas d'enrichissement possible (email invalide), aucun retour prospect depuis. Pas d'autres actions ou échanges notables. Prochaines étapes : relance à prévoir, attente retour prospect. Pas d'autres activités menées à ce jour.</t>
        </is>
      </c>
      <c r="G111" s="6" t="inlineStr">
        <is>
          <t>OK</t>
        </is>
      </c>
      <c r="H111" s="6" t="inlineStr">
        <is>
          <t>12/11/2025</t>
        </is>
      </c>
      <c r="I111" s="6" t="inlineStr"/>
      <c r="J111" s="6">
        <f>ROUND(Z111/1000000,3)&amp;" M€"</f>
        <v/>
      </c>
      <c r="K111" s="6" t="inlineStr">
        <is>
          <t>10%</t>
        </is>
      </c>
      <c r="L111" s="6" t="inlineStr">
        <is>
          <t>Autre</t>
        </is>
      </c>
      <c r="Z111" t="n">
        <v>0</v>
      </c>
    </row>
    <row r="112" ht="60" customHeight="1">
      <c r="A112" s="4" t="inlineStr">
        <is>
          <t>DEEPTECH - Exergon</t>
        </is>
      </c>
      <c r="B112" s="4" t="inlineStr">
        <is>
          <t>Société de gestion</t>
        </is>
      </c>
      <c r="C112" s="4" t="inlineStr">
        <is>
          <t>ANTLER INNOVATION FRANCE, Kristian Jul Rosjo</t>
        </is>
      </c>
      <c r="D112" s="4" t="inlineStr">
        <is>
          <t>Kristian Jul Rosjo</t>
        </is>
      </c>
      <c r="E112" s="4" t="inlineStr">
        <is>
          <t>Romain Andrieu</t>
        </is>
      </c>
      <c r="F112" s="4" t="inlineStr">
        <is>
          <t>Rdv reporté à janvier, co-investissement Lony évoqué, refus des fonds de fonds par le prospect. Pas d'autres activités récentes ni de passage en comité mentionné. Nouvelle piste créée pour l'équipe Ventes. Prochaines étapes : attendre janvier pour replanification du rdv.</t>
        </is>
      </c>
      <c r="G112" s="4" t="inlineStr">
        <is>
          <t>KO</t>
        </is>
      </c>
      <c r="H112" s="4" t="inlineStr">
        <is>
          <t>17/11/2025</t>
        </is>
      </c>
      <c r="I112" s="4" t="inlineStr"/>
      <c r="J112" s="4">
        <f>ROUND(Z112/1000000,3)&amp;" M€"</f>
        <v/>
      </c>
      <c r="K112" s="4" t="inlineStr">
        <is>
          <t>0%</t>
        </is>
      </c>
      <c r="L112" s="4" t="inlineStr">
        <is>
          <t>Autre</t>
        </is>
      </c>
      <c r="Z112" t="n">
        <v>0</v>
      </c>
    </row>
    <row r="113" ht="60" customHeight="1">
      <c r="A113" s="6" t="inlineStr">
        <is>
          <t>DEEPTECH - Exergon</t>
        </is>
      </c>
      <c r="B113" s="6" t="inlineStr">
        <is>
          <t>Banque (haut de bilan)</t>
        </is>
      </c>
      <c r="C113" s="6" t="inlineStr">
        <is>
          <t>AGRICA EPARGNE, Aurélien Leguay</t>
        </is>
      </c>
      <c r="D113" s="6" t="inlineStr">
        <is>
          <t>Aurélien Leguay</t>
        </is>
      </c>
      <c r="E113" s="6" t="inlineStr">
        <is>
          <t>Romain Andrieu</t>
        </is>
      </c>
      <c r="F113" s="6" t="inlineStr">
        <is>
          <t>Prospect pas intéressé par le VC en fonds de fonds, préfère des fonds sur des stades plus matures et business rentables. Nouvelle piste créée pour équipe Ventes. Aucune activité ou action supplémentaire planifiée à ce stade, pas de prochaines étapes identifiées.</t>
        </is>
      </c>
      <c r="G113" s="6" t="inlineStr">
        <is>
          <t>KO</t>
        </is>
      </c>
      <c r="H113" s="6" t="inlineStr">
        <is>
          <t>23/10/2025</t>
        </is>
      </c>
      <c r="I113" s="6" t="inlineStr"/>
      <c r="J113" s="6">
        <f>ROUND(Z113/1000000,3)&amp;" M€"</f>
        <v/>
      </c>
      <c r="K113" s="6" t="inlineStr">
        <is>
          <t>0%</t>
        </is>
      </c>
      <c r="L113" s="6" t="inlineStr">
        <is>
          <t>Autre</t>
        </is>
      </c>
      <c r="Z113" t="n">
        <v>10000000</v>
      </c>
    </row>
    <row r="114" ht="60" customHeight="1">
      <c r="A114" s="4" t="inlineStr">
        <is>
          <t>DEEPTECH - Exergon</t>
        </is>
      </c>
      <c r="B114" s="4" t="inlineStr">
        <is>
          <t>Corporate</t>
        </is>
      </c>
      <c r="C114" s="4" t="inlineStr">
        <is>
          <t>ADP, Alban NEGRET</t>
        </is>
      </c>
      <c r="D114" s="4" t="inlineStr">
        <is>
          <t>Alban NEGRET</t>
        </is>
      </c>
      <c r="E114" s="4" t="inlineStr">
        <is>
          <t>Romain Andrieu</t>
        </is>
      </c>
      <c r="F114" s="5" t="inlineStr">
        <is>
          <t>Parrainage TIbi 3 sur Exergon et Calderion. Thèse infra toujours forte, thématique agri agro en analyse. Pas d'autres activités ou retours récents identifiés. Prochaines étapes non précisées, attente d'analyse sur la thématique agri agro.</t>
        </is>
      </c>
      <c r="G114" s="4" t="inlineStr">
        <is>
          <t>OK</t>
        </is>
      </c>
      <c r="H114" s="5" t="inlineStr">
        <is>
          <t>30/06/2026</t>
        </is>
      </c>
      <c r="I114" s="4" t="inlineStr"/>
      <c r="J114" s="4">
        <f>ROUND(Z114/1000000,3)&amp;" M€"</f>
        <v/>
      </c>
      <c r="K114" s="4" t="inlineStr">
        <is>
          <t>10%</t>
        </is>
      </c>
      <c r="L114" s="5" t="inlineStr">
        <is>
          <t>Semaine passée</t>
        </is>
      </c>
      <c r="Z114" t="n">
        <v>0</v>
      </c>
    </row>
    <row r="115" ht="60" customHeight="1">
      <c r="A115" s="6" t="inlineStr">
        <is>
          <t>DEEPTECH - Exergon</t>
        </is>
      </c>
      <c r="B115" s="6" t="inlineStr">
        <is>
          <t>Public</t>
        </is>
      </c>
      <c r="C115" s="6" t="inlineStr">
        <is>
          <t>ADEME Investissement, Karine MERERE</t>
        </is>
      </c>
      <c r="D115" s="6" t="inlineStr">
        <is>
          <t>Karine MERERE</t>
        </is>
      </c>
      <c r="E115" s="6" t="inlineStr">
        <is>
          <t>Romain Andrieu</t>
        </is>
      </c>
      <c r="F115" s="6" t="inlineStr">
        <is>
          <t>Mandat mobilité ajouté, complément BPI/banques. Fonds de fonds 400M€, 300M€ engagés, tickets jusqu'à 100M€/fonds. Intérêt fort infra, analyse agri/agro, pas ENR, nucléaire direct, fonds non prioritaire. Suivi France 2030 SGPI, contact Gerges Étienne Raymond. Pas d'activité future planifiée.</t>
        </is>
      </c>
      <c r="G115" s="6" t="inlineStr">
        <is>
          <t>KO</t>
        </is>
      </c>
      <c r="H115" s="6" t="inlineStr">
        <is>
          <t>25/01/2025</t>
        </is>
      </c>
      <c r="I115" s="6" t="inlineStr"/>
      <c r="J115" s="6">
        <f>ROUND(Z115/1000000,3)&amp;" M€"</f>
        <v/>
      </c>
      <c r="K115" s="6" t="inlineStr">
        <is>
          <t>0%</t>
        </is>
      </c>
      <c r="L115" s="6" t="inlineStr">
        <is>
          <t>Autre</t>
        </is>
      </c>
      <c r="Z115" t="n">
        <v>0</v>
      </c>
    </row>
    <row r="116" ht="60" customHeight="1">
      <c r="A116" s="4" t="inlineStr">
        <is>
          <t>DEEPTECH - Exergon</t>
        </is>
      </c>
      <c r="B116" s="4" t="inlineStr">
        <is>
          <t>Fonds de pension</t>
        </is>
      </c>
      <c r="C116" s="4" t="inlineStr">
        <is>
          <t>A/S Norske Shells Pensjonskasse, Nicolas Dechau</t>
        </is>
      </c>
      <c r="D116" s="4" t="inlineStr">
        <is>
          <t>Nicolas Dechau</t>
        </is>
      </c>
      <c r="E116" s="4" t="inlineStr">
        <is>
          <t>Romain Andrieu</t>
        </is>
      </c>
      <c r="F116" s="4" t="inlineStr">
        <is>
          <t>Roadshow Oslo à instruire, enrichissement lead impossible (email non valide), aucun call ni activité enregistrée, pas de retour prospect sur fonds présentés, aucune action planifiée à ce jour. Suivi à relancer, aucune interaction significative récente, prochaines étapes à définir.</t>
        </is>
      </c>
      <c r="G116" s="4" t="inlineStr">
        <is>
          <t>OK</t>
        </is>
      </c>
      <c r="H116" s="4" t="inlineStr">
        <is>
          <t>06/10/2025</t>
        </is>
      </c>
      <c r="I116" s="4" t="inlineStr"/>
      <c r="J116" s="4">
        <f>ROUND(Z116/1000000,3)&amp;" M€"</f>
        <v/>
      </c>
      <c r="K116" s="4" t="inlineStr">
        <is>
          <t>10%</t>
        </is>
      </c>
      <c r="L116" s="4" t="inlineStr">
        <is>
          <t>Autre</t>
        </is>
      </c>
      <c r="Z116" t="n">
        <v>0</v>
      </c>
    </row>
    <row r="117" ht="60" customHeight="1">
      <c r="A117" s="6" t="inlineStr">
        <is>
          <t>DEEPTECH - Exergon</t>
        </is>
      </c>
      <c r="B117" s="6" t="inlineStr">
        <is>
          <t>Société de gestion</t>
        </is>
      </c>
      <c r="C117" s="6" t="inlineStr">
        <is>
          <t>Argentum Fondsinvesteringer AS, Oda-Elisabeth Knudsen</t>
        </is>
      </c>
      <c r="D117" s="6" t="inlineStr">
        <is>
          <t>Oda-Elisabeth Knudsen</t>
        </is>
      </c>
      <c r="E117" s="6" t="inlineStr">
        <is>
          <t>Romain Andrieu</t>
        </is>
      </c>
      <c r="F117" s="6" t="inlineStr">
        <is>
          <t>Dernier échange 11/04/25 : prospect intéressé par fonds EverGreen, 100% PE Secondary/co-invest, peu de fonds, stratégie buy &amp; hold, sorties 2022 excellentes, 2023+ sorties lentes, -50% en 2024. Pas d'activité récente ni prochaine action planifiée identifiée.</t>
        </is>
      </c>
      <c r="G117" s="6" t="inlineStr">
        <is>
          <t>OK</t>
        </is>
      </c>
      <c r="H117" s="6" t="inlineStr">
        <is>
          <t>11/04/2025</t>
        </is>
      </c>
      <c r="I117" s="6" t="inlineStr"/>
      <c r="J117" s="6">
        <f>ROUND(Z117/1000000,3)&amp;" M€"</f>
        <v/>
      </c>
      <c r="K117" s="6" t="inlineStr">
        <is>
          <t>10%</t>
        </is>
      </c>
      <c r="L117" s="6" t="inlineStr">
        <is>
          <t>Autre</t>
        </is>
      </c>
      <c r="Z117" t="n">
        <v>0</v>
      </c>
    </row>
    <row r="118" ht="60" customHeight="1">
      <c r="A118" s="4" t="inlineStr">
        <is>
          <t>DEEPTECH - Exergon</t>
        </is>
      </c>
      <c r="B118" s="4" t="inlineStr">
        <is>
          <t>Single Family Office</t>
        </is>
      </c>
      <c r="C118" s="4" t="inlineStr">
        <is>
          <t>Debeka Gruppe, Frank Heise</t>
        </is>
      </c>
      <c r="D118" s="4" t="inlineStr">
        <is>
          <t>Frank Heise</t>
        </is>
      </c>
      <c r="E118" s="4" t="inlineStr">
        <is>
          <t>Levée de Fonds</t>
        </is>
      </c>
      <c r="F118" s="5" t="inlineStr">
        <is>
          <t>Contact initié avec Théo Salerno. Réponse reçue : l'interlocuteur ne gère que les actions cotées, pour les investissements alternatifs il faut contacter Daniel Hilland (debeka.de). Aucune autre interaction ni feedback prospect. Prochaine étape non précisée, deadline activité fixée au 31/07/2026.</t>
        </is>
      </c>
      <c r="G118" s="4" t="inlineStr">
        <is>
          <t>OK</t>
        </is>
      </c>
      <c r="H118" s="5" t="inlineStr">
        <is>
          <t>30/06/2026</t>
        </is>
      </c>
      <c r="I118" s="4" t="inlineStr">
        <is>
          <t>Contacter Daniel.hilland@debeka.de</t>
        </is>
      </c>
      <c r="J118" s="4">
        <f>ROUND(Z118/1000000,3)&amp;" M€"</f>
        <v/>
      </c>
      <c r="K118" s="4" t="inlineStr">
        <is>
          <t>10%</t>
        </is>
      </c>
      <c r="L118" s="5" t="inlineStr">
        <is>
          <t>Semaine passée</t>
        </is>
      </c>
      <c r="Z118" t="n">
        <v>0</v>
      </c>
    </row>
    <row r="119" ht="60" customHeight="1">
      <c r="A119" s="6" t="inlineStr">
        <is>
          <t>DEEPTECH - Exergon</t>
        </is>
      </c>
      <c r="B119" s="6" t="inlineStr">
        <is>
          <t>Single Family Office</t>
        </is>
      </c>
      <c r="C119" s="6" t="inlineStr">
        <is>
          <t>MSR - Münster Stegmaier Rombach Family Office GmbH, Nicole Schultze</t>
        </is>
      </c>
      <c r="D119" s="6" t="inlineStr">
        <is>
          <t>Nicole Schultze</t>
        </is>
      </c>
      <c r="E119" s="6" t="inlineStr">
        <is>
          <t>Levée de Fonds</t>
        </is>
      </c>
      <c r="F119" s="5" t="inlineStr">
        <is>
          <t>Nouvelle piste créée pour équipe Ventes (Lead Théo Salerno). Documents transmis, équipe prospect en cours de revue, délai annoncé car équipe occupée. Attente retour prospect par email après analyse. Aucune autre activité ou échange prospect identifié à ce stade.</t>
        </is>
      </c>
      <c r="G119" s="6" t="inlineStr">
        <is>
          <t>OK</t>
        </is>
      </c>
      <c r="H119" s="5" t="inlineStr">
        <is>
          <t>30/06/2026</t>
        </is>
      </c>
      <c r="I119" s="6" t="inlineStr"/>
      <c r="J119" s="6">
        <f>ROUND(Z119/1000000,3)&amp;" M€"</f>
        <v/>
      </c>
      <c r="K119" s="6" t="inlineStr">
        <is>
          <t>10%</t>
        </is>
      </c>
      <c r="L119" s="5" t="inlineStr">
        <is>
          <t>Semaine passée</t>
        </is>
      </c>
      <c r="Z119" t="n">
        <v>0</v>
      </c>
    </row>
    <row r="120" ht="60" customHeight="1">
      <c r="A120" s="4" t="inlineStr">
        <is>
          <t>DEEPTECH - Exergon</t>
        </is>
      </c>
      <c r="B120" s="4" t="inlineStr">
        <is>
          <t>Single Family Office</t>
        </is>
      </c>
      <c r="C120" s="4" t="inlineStr">
        <is>
          <t>MARYLAND, Leonardo Severino</t>
        </is>
      </c>
      <c r="D120" s="4" t="inlineStr">
        <is>
          <t>Leonardo Severino</t>
        </is>
      </c>
      <c r="E120" s="4" t="inlineStr">
        <is>
          <t>Levée de Fonds</t>
        </is>
      </c>
      <c r="F120" s="5" t="inlineStr">
        <is>
          <t>Relance envoyée le 17/04/26. Lead attribué à Théo Salerno. Nouvelle piste créée pour l'équipe Ventes. Aucune réponse ou retour prospect identifié. Prochaine étape : activité planifiée avec deadline au 13/07/26. Aucun avis, objection ou intention prospect relevé à ce stade.</t>
        </is>
      </c>
      <c r="G120" s="4" t="inlineStr">
        <is>
          <t>OK</t>
        </is>
      </c>
      <c r="H120" s="5" t="inlineStr">
        <is>
          <t>30/06/2026</t>
        </is>
      </c>
      <c r="I120" s="4" t="inlineStr">
        <is>
          <t>Relancer</t>
        </is>
      </c>
      <c r="J120" s="4">
        <f>ROUND(Z120/1000000,3)&amp;" M€"</f>
        <v/>
      </c>
      <c r="K120" s="4" t="inlineStr">
        <is>
          <t>10%</t>
        </is>
      </c>
      <c r="L120" s="5" t="inlineStr">
        <is>
          <t>Semaine passée &amp; à venir</t>
        </is>
      </c>
      <c r="Z120" t="n">
        <v>0</v>
      </c>
    </row>
    <row r="121" ht="60" customHeight="1">
      <c r="A121" s="6" t="inlineStr">
        <is>
          <t>DEEPTECH - Exergon</t>
        </is>
      </c>
      <c r="B121" s="6" t="inlineStr">
        <is>
          <t>Banque (haut de bilan)</t>
        </is>
      </c>
      <c r="C121" s="6" t="inlineStr">
        <is>
          <t>ABNAMRO ENTERPRISE, Valery Barbaglia</t>
        </is>
      </c>
      <c r="D121" s="6" t="inlineStr">
        <is>
          <t>Valery Barbaglia</t>
        </is>
      </c>
      <c r="E121" s="6" t="inlineStr">
        <is>
          <t>Romain Andrieu</t>
        </is>
      </c>
      <c r="F121" s="6" t="inlineStr">
        <is>
          <t>Peter DIETZE (boss de florris Lyppens) adore le nouveau fonds présenté, retour très positif, pas d'objection majeure soulevée, échanges constructifs, attente d'une prochaine réunion pour approfondir certains points. Pas d'autres activités ou actions récentes identifiées dans le suivi.</t>
        </is>
      </c>
      <c r="G121" s="6" t="inlineStr">
        <is>
          <t>OK</t>
        </is>
      </c>
      <c r="H121" s="6" t="inlineStr">
        <is>
          <t>17/06/2026</t>
        </is>
      </c>
      <c r="I121" s="6" t="inlineStr"/>
      <c r="J121" s="6">
        <f>ROUND(Z121/1000000,3)&amp;" M€"</f>
        <v/>
      </c>
      <c r="K121" s="6" t="inlineStr">
        <is>
          <t>30%</t>
        </is>
      </c>
      <c r="L121" s="6" t="inlineStr">
        <is>
          <t>Autre</t>
        </is>
      </c>
      <c r="Z121" t="n">
        <v>1000000</v>
      </c>
    </row>
    <row r="122" ht="60" customHeight="1">
      <c r="A122" s="4" t="inlineStr">
        <is>
          <t>DEEPTECH - Exergon</t>
        </is>
      </c>
      <c r="B122" s="4" t="inlineStr">
        <is>
          <t>Multi Family Office</t>
        </is>
      </c>
      <c r="C122" s="4" t="inlineStr">
        <is>
          <t>Bertreur Family Office, Marius Bergander</t>
        </is>
      </c>
      <c r="D122" s="4" t="inlineStr">
        <is>
          <t>Marius Bergander</t>
        </is>
      </c>
      <c r="E122" s="4" t="inlineStr">
        <is>
          <t>Levée de Fonds</t>
        </is>
      </c>
      <c r="F122" s="5" t="inlineStr">
        <is>
          <t>28/05 : mail de relance envoyé à Théo Salerno. RDV en cours de programmation, pas encore de retour du prospect. Nouvelle piste créée pour équipe Ventes. Prochaine étape : suivi avant deadline du 13/07. Aucun avis ni objection prospect sur fonds ou produits à ce stade.</t>
        </is>
      </c>
      <c r="G122" s="4" t="inlineStr">
        <is>
          <t>OK</t>
        </is>
      </c>
      <c r="H122" s="5" t="inlineStr">
        <is>
          <t>30/06/2026</t>
        </is>
      </c>
      <c r="I122" s="4" t="inlineStr">
        <is>
          <t>relancer</t>
        </is>
      </c>
      <c r="J122" s="4">
        <f>ROUND(Z122/1000000,3)&amp;" M€"</f>
        <v/>
      </c>
      <c r="K122" s="4" t="inlineStr">
        <is>
          <t>10%</t>
        </is>
      </c>
      <c r="L122" s="5" t="inlineStr">
        <is>
          <t>Semaine passée &amp; à venir</t>
        </is>
      </c>
      <c r="Z122" t="n">
        <v>0</v>
      </c>
    </row>
    <row r="123" ht="60" customHeight="1">
      <c r="A123" s="6" t="inlineStr">
        <is>
          <t>DEEPTECH - Exergon</t>
        </is>
      </c>
      <c r="B123" s="6" t="inlineStr">
        <is>
          <t>Corporate</t>
        </is>
      </c>
      <c r="C123" s="6" t="inlineStr">
        <is>
          <t>Technip Energies, Aurelia GOMEZ</t>
        </is>
      </c>
      <c r="D123" s="6" t="inlineStr">
        <is>
          <t>Aurelia GOMEZ</t>
        </is>
      </c>
      <c r="E123" s="6" t="inlineStr">
        <is>
          <t>Romain Andrieu</t>
        </is>
      </c>
      <c r="F123" s="6" t="inlineStr">
        <is>
          <t>Nouvelle piste créée pour équipe Ventes par Romain Andrieu. Aucun échange, activité ou suivi enregistré à ce jour. Pas d'informations sur le contexte de création, pas de retour prospect, aucune action ou prochaine étape planifiée actuellement.</t>
        </is>
      </c>
      <c r="G123" s="6" t="inlineStr">
        <is>
          <t>OK</t>
        </is>
      </c>
      <c r="H123" s="6" t="inlineStr">
        <is>
          <t>06/05/2026</t>
        </is>
      </c>
      <c r="I123" s="6" t="inlineStr"/>
      <c r="J123" s="6">
        <f>ROUND(Z123/1000000,3)&amp;" M€"</f>
        <v/>
      </c>
      <c r="K123" s="6" t="inlineStr">
        <is>
          <t>10%</t>
        </is>
      </c>
      <c r="L123" s="6" t="inlineStr">
        <is>
          <t>Autre</t>
        </is>
      </c>
      <c r="Z123" t="n">
        <v>0</v>
      </c>
    </row>
    <row r="124" ht="60" customHeight="1">
      <c r="A124" s="4" t="inlineStr">
        <is>
          <t>DEEPTECH - Exergon</t>
        </is>
      </c>
      <c r="B124" s="4" t="inlineStr">
        <is>
          <t>HNWI</t>
        </is>
      </c>
      <c r="C124" s="4" t="inlineStr">
        <is>
          <t>HNWI, Xavier de la Chapelle</t>
        </is>
      </c>
      <c r="D124" s="4" t="inlineStr">
        <is>
          <t>Xavier de la Chapelle</t>
        </is>
      </c>
      <c r="E124" s="4" t="inlineStr">
        <is>
          <t>Romain Andrieu</t>
        </is>
      </c>
      <c r="F124" s="4" t="inlineStr">
        <is>
          <t>Contact initié sur recommandation CB. Intérêt exprimé pour fonds VC deeptech, focus Newspace et Nouveau nucléaire. Proposition de rencontre envoyée, attente retour prospect pour fixer échange. Pas d'autres actions ou retours prospect enregistrés à ce stade.</t>
        </is>
      </c>
      <c r="G124" s="4" t="inlineStr">
        <is>
          <t>OK</t>
        </is>
      </c>
      <c r="H124" s="4" t="inlineStr">
        <is>
          <t>04/05/2026</t>
        </is>
      </c>
      <c r="I124" s="4" t="inlineStr"/>
      <c r="J124" s="4">
        <f>ROUND(Z124/1000000,3)&amp;" M€"</f>
        <v/>
      </c>
      <c r="K124" s="4" t="inlineStr">
        <is>
          <t>10%</t>
        </is>
      </c>
      <c r="L124" s="4" t="inlineStr">
        <is>
          <t>Autre</t>
        </is>
      </c>
      <c r="Z124" t="n">
        <v>0</v>
      </c>
    </row>
    <row r="125" ht="60" customHeight="1">
      <c r="A125" s="6" t="inlineStr">
        <is>
          <t>DEEPTECH - Exergon</t>
        </is>
      </c>
      <c r="B125" s="6" t="inlineStr">
        <is>
          <t>HNWI</t>
        </is>
      </c>
      <c r="C125" s="6" t="inlineStr">
        <is>
          <t>HNWI, Marc Cellier</t>
        </is>
      </c>
      <c r="D125" s="6" t="inlineStr">
        <is>
          <t>Marc Cellier</t>
        </is>
      </c>
      <c r="E125" s="6" t="inlineStr">
        <is>
          <t>Romain Andrieu</t>
        </is>
      </c>
      <c r="F125" s="6" t="inlineStr">
        <is>
          <t>Piste créée pour équipe Ventes sur recommandation CB. Premier contact par mail, intérêt identifié pour fonds VC deeptech, focus Newspace et Nouveau nucléaire. Proposition de rencontre envoyée, attente retour prospect. Pas d'autres actions ou retours à ce stade.</t>
        </is>
      </c>
      <c r="G125" s="6" t="inlineStr">
        <is>
          <t>OK</t>
        </is>
      </c>
      <c r="H125" s="6" t="inlineStr">
        <is>
          <t>30/04/2026</t>
        </is>
      </c>
      <c r="I125" s="6" t="inlineStr"/>
      <c r="J125" s="6">
        <f>ROUND(Z125/1000000,3)&amp;" M€"</f>
        <v/>
      </c>
      <c r="K125" s="6" t="inlineStr">
        <is>
          <t>10%</t>
        </is>
      </c>
      <c r="L125" s="6" t="inlineStr">
        <is>
          <t>Autre</t>
        </is>
      </c>
      <c r="Z125" t="n">
        <v>0</v>
      </c>
    </row>
    <row r="126" ht="60" customHeight="1">
      <c r="A126" s="4" t="inlineStr">
        <is>
          <t>DEEPTECH - Exergon</t>
        </is>
      </c>
      <c r="B126" s="4" t="inlineStr">
        <is>
          <t>HNWI</t>
        </is>
      </c>
      <c r="C126" s="4" t="inlineStr">
        <is>
          <t>HNWI, Xavier de la Chapelle</t>
        </is>
      </c>
      <c r="D126" s="4" t="inlineStr">
        <is>
          <t>Xavier de la Chapelle</t>
        </is>
      </c>
      <c r="E126" s="4" t="inlineStr">
        <is>
          <t>Romain Andrieu</t>
        </is>
      </c>
      <c r="F126" s="4" t="inlineStr">
        <is>
          <t>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t>
        </is>
      </c>
      <c r="G126" s="4" t="inlineStr">
        <is>
          <t>OK</t>
        </is>
      </c>
      <c r="H126" s="4" t="inlineStr">
        <is>
          <t>30/04/2026</t>
        </is>
      </c>
      <c r="I126" s="4" t="inlineStr"/>
      <c r="J126" s="4">
        <f>ROUND(Z126/1000000,3)&amp;" M€"</f>
        <v/>
      </c>
      <c r="K126" s="4" t="inlineStr">
        <is>
          <t>10%</t>
        </is>
      </c>
      <c r="L126" s="4" t="inlineStr">
        <is>
          <t>Autre</t>
        </is>
      </c>
      <c r="Z126" t="n">
        <v>0</v>
      </c>
    </row>
    <row r="127" ht="60" customHeight="1">
      <c r="A127" s="6" t="inlineStr">
        <is>
          <t>DEEPTECH - Exergon</t>
        </is>
      </c>
      <c r="B127" s="6" t="inlineStr">
        <is>
          <t>Single Family Office</t>
        </is>
      </c>
      <c r="C127" s="6" t="inlineStr">
        <is>
          <t>GOLDBECK, Kelley Luyken</t>
        </is>
      </c>
      <c r="D127" s="6" t="inlineStr">
        <is>
          <t>Kelley Luyken</t>
        </is>
      </c>
      <c r="E127" s="6" t="inlineStr">
        <is>
          <t>Levée de Fonds</t>
        </is>
      </c>
      <c r="F127" s="5" t="inlineStr">
        <is>
          <t>Prospect intéressé par deeptech/climat, contact transmis à Kelley (Family Office). Relance envoyée le 28/05. Réponse : allocations 2026 bouclées, ouverture 2027. Demande d'infos sur avancement et calendrier des deux fonds. Pas d'objection, attente retour sur fundraising/timing. Pas d'activité prévue.</t>
        </is>
      </c>
      <c r="G127" s="6" t="inlineStr">
        <is>
          <t>OK</t>
        </is>
      </c>
      <c r="H127" s="5" t="inlineStr">
        <is>
          <t>30/06/2026</t>
        </is>
      </c>
      <c r="I127" s="6" t="inlineStr">
        <is>
          <t>Relancer</t>
        </is>
      </c>
      <c r="J127" s="6">
        <f>ROUND(Z127/1000000,3)&amp;" M€"</f>
        <v/>
      </c>
      <c r="K127" s="6" t="inlineStr">
        <is>
          <t>10%</t>
        </is>
      </c>
      <c r="L127" s="5" t="inlineStr">
        <is>
          <t>Semaine passée &amp; à venir</t>
        </is>
      </c>
      <c r="Z127" t="n">
        <v>0</v>
      </c>
    </row>
    <row r="128" ht="60" customHeight="1">
      <c r="A128" s="4" t="inlineStr">
        <is>
          <t>DEEPTECH - Exergon</t>
        </is>
      </c>
      <c r="B128" s="4" t="inlineStr">
        <is>
          <t>Single Family Office</t>
        </is>
      </c>
      <c r="C128" s="4" t="inlineStr">
        <is>
          <t>SOFTKLIX Europe UG (haftungsbeschränkt), Klaus Maier</t>
        </is>
      </c>
      <c r="D128" s="4" t="inlineStr">
        <is>
          <t>Klaus Maier</t>
        </is>
      </c>
      <c r="E128" s="4" t="inlineStr">
        <is>
          <t>Levée de Fonds</t>
        </is>
      </c>
      <c r="F128" s="5" t="inlineStr">
        <is>
          <t>27/04/26 proposition call à Théo Salerno, prospect intéressé, souhaite étudier les infos reçues, indisponible cette semaine (ascension éolienne 300m), family office probablement intéressé pour investir. 04/05 relance call effectuée. Action mail relance terminée. Prochaine étape fixée au 20/07/26.</t>
        </is>
      </c>
      <c r="G128" s="4" t="inlineStr">
        <is>
          <t>OK</t>
        </is>
      </c>
      <c r="H128" s="5" t="inlineStr">
        <is>
          <t>30/06/2026</t>
        </is>
      </c>
      <c r="I128" s="4" t="inlineStr">
        <is>
          <t>relancer</t>
        </is>
      </c>
      <c r="J128" s="4">
        <f>ROUND(Z128/1000000,3)&amp;" M€"</f>
        <v/>
      </c>
      <c r="K128" s="4" t="inlineStr">
        <is>
          <t>30%</t>
        </is>
      </c>
      <c r="L128" s="5" t="inlineStr">
        <is>
          <t>Semaine passée</t>
        </is>
      </c>
      <c r="Z128" t="n">
        <v>0</v>
      </c>
    </row>
    <row r="129" ht="60" customHeight="1">
      <c r="A129" s="6" t="inlineStr">
        <is>
          <t>DEEPTECH - Exergon</t>
        </is>
      </c>
      <c r="B129" s="6" t="inlineStr">
        <is>
          <t>Fonds de fonds</t>
        </is>
      </c>
      <c r="C129" s="6" t="inlineStr">
        <is>
          <t>ARKEA CAPITAL, Pierre-Emmanuel Boulic</t>
        </is>
      </c>
      <c r="D129" s="6" t="inlineStr">
        <is>
          <t>Pierre-Emmanuel Boulic</t>
        </is>
      </c>
      <c r="E129" s="6" t="inlineStr">
        <is>
          <t>Romain Andrieu</t>
        </is>
      </c>
      <c r="F129" s="6" t="inlineStr">
        <is>
          <t>Thierry Vallet rejoint GP 1,3bn (ARKEA Capital) avec Pierre-Emmanuel Boulic, relation positive. Insistance sur l'identité du responsable ESG côté équipe. Nouvelle piste créée pour équipe Ventes. Pas d'autres actions ou retours prospect sur fonds. Prochaines étapes non précisées.</t>
        </is>
      </c>
      <c r="G129" s="6" t="inlineStr">
        <is>
          <t>OK</t>
        </is>
      </c>
      <c r="H129" s="6" t="inlineStr">
        <is>
          <t>23/04/2026</t>
        </is>
      </c>
      <c r="I129" s="6" t="inlineStr"/>
      <c r="J129" s="6">
        <f>ROUND(Z129/1000000,3)&amp;" M€"</f>
        <v/>
      </c>
      <c r="K129" s="6" t="inlineStr">
        <is>
          <t>10%</t>
        </is>
      </c>
      <c r="L129" s="6" t="inlineStr">
        <is>
          <t>Autre</t>
        </is>
      </c>
      <c r="Z129" t="n">
        <v>0</v>
      </c>
    </row>
    <row r="130" ht="60" customHeight="1">
      <c r="A130" s="4" t="inlineStr">
        <is>
          <t>DEEPTECH - Exergon</t>
        </is>
      </c>
      <c r="B130" s="4" t="inlineStr">
        <is>
          <t>Corporate</t>
        </is>
      </c>
      <c r="C130" s="4" t="inlineStr">
        <is>
          <t>SIEMENS ENERGY SAS, Anne-Laure de Chammard</t>
        </is>
      </c>
      <c r="D130" s="4" t="inlineStr">
        <is>
          <t>Anne-Laure de Chammard</t>
        </is>
      </c>
      <c r="E130" s="4" t="inlineStr">
        <is>
          <t>Romain Andrieu</t>
        </is>
      </c>
      <c r="F130" s="4" t="inlineStr">
        <is>
          <t>Nouvelle piste créée pour équipe Ventes, origine : communication LinkedIn Anne-Laure de Chammard (post du 23/04/2026). Aucun échange, action ou retour prospect enregistré à ce jour. Pas d'activité planifiée ni de feedback sur fonds présentés. Prochaines étapes non définies.</t>
        </is>
      </c>
      <c r="G130" s="4" t="inlineStr">
        <is>
          <t>OK</t>
        </is>
      </c>
      <c r="H130" s="4" t="inlineStr">
        <is>
          <t>23/04/2026</t>
        </is>
      </c>
      <c r="I130" s="4" t="inlineStr"/>
      <c r="J130" s="4">
        <f>ROUND(Z130/1000000,3)&amp;" M€"</f>
        <v/>
      </c>
      <c r="K130" s="4" t="inlineStr">
        <is>
          <t>20%</t>
        </is>
      </c>
      <c r="L130" s="4" t="inlineStr">
        <is>
          <t>Autre</t>
        </is>
      </c>
      <c r="Z130" t="n">
        <v>0</v>
      </c>
    </row>
    <row r="131" ht="60" customHeight="1">
      <c r="A131" s="6" t="inlineStr">
        <is>
          <t>DEEPTECH - Exergon</t>
        </is>
      </c>
      <c r="B131" s="6" t="inlineStr">
        <is>
          <t>Banque (haut de bilan)</t>
        </is>
      </c>
      <c r="C131" s="6" t="inlineStr">
        <is>
          <t>BNP PARIBAS, Florent Garcia</t>
        </is>
      </c>
      <c r="D131" s="6" t="inlineStr">
        <is>
          <t>Florent Garcia</t>
        </is>
      </c>
      <c r="E131" s="6" t="inlineStr">
        <is>
          <t>Romain Andrieu</t>
        </is>
      </c>
      <c r="F131" s="6" t="inlineStr">
        <is>
          <t>Nouvelle piste créée pour équipe Ventes, relance effectuée par Romain Andrieu le 23/04/2026. Aucune autre activité ou retour prospect enregistré à ce jour. Prochaines étapes non planifiées, attente de réponse suite relance.</t>
        </is>
      </c>
      <c r="G131" s="6" t="inlineStr">
        <is>
          <t>OK</t>
        </is>
      </c>
      <c r="H131" s="6" t="inlineStr">
        <is>
          <t>23/04/2026</t>
        </is>
      </c>
      <c r="I131" s="6" t="inlineStr"/>
      <c r="J131" s="6">
        <f>ROUND(Z131/1000000,3)&amp;" M€"</f>
        <v/>
      </c>
      <c r="K131" s="6" t="inlineStr">
        <is>
          <t>10%</t>
        </is>
      </c>
      <c r="L131" s="6" t="inlineStr">
        <is>
          <t>Autre</t>
        </is>
      </c>
      <c r="Z131" t="n">
        <v>0</v>
      </c>
    </row>
    <row r="132" ht="60" customHeight="1">
      <c r="A132" s="4" t="inlineStr">
        <is>
          <t>DEEPTECH - Exergon</t>
        </is>
      </c>
      <c r="B132" s="4" t="inlineStr">
        <is>
          <t>Banque (haut de bilan)</t>
        </is>
      </c>
      <c r="C132" s="4" t="inlineStr">
        <is>
          <t>BNPP AM SOLAR IMPULSE VENTURES, Yann Lagalaye</t>
        </is>
      </c>
      <c r="D132" s="4" t="inlineStr">
        <is>
          <t>Yann Lagalaye</t>
        </is>
      </c>
      <c r="E132" s="4" t="inlineStr">
        <is>
          <t>Romain Andrieu</t>
        </is>
      </c>
      <c r="F132" s="4" t="inlineStr">
        <is>
          <t>Nouvelle piste créée pour équipe Ventes, relance effectuée par Romain Andrieu. Pas d'autres actions ou retours du prospect mentionnés. Prochaines étapes non précisées, attente de réponse suite à la relance.</t>
        </is>
      </c>
      <c r="G132" s="4" t="inlineStr">
        <is>
          <t>OK</t>
        </is>
      </c>
      <c r="H132" s="4" t="inlineStr">
        <is>
          <t>23/04/2026</t>
        </is>
      </c>
      <c r="I132" s="4" t="inlineStr"/>
      <c r="J132" s="4">
        <f>ROUND(Z132/1000000,3)&amp;" M€"</f>
        <v/>
      </c>
      <c r="K132" s="4" t="inlineStr">
        <is>
          <t>10%</t>
        </is>
      </c>
      <c r="L132" s="4" t="inlineStr">
        <is>
          <t>Autre</t>
        </is>
      </c>
      <c r="Z132" t="n">
        <v>0</v>
      </c>
    </row>
    <row r="133" ht="60" customHeight="1">
      <c r="A133" s="6" t="inlineStr">
        <is>
          <t>DEEPTECH - Exergon</t>
        </is>
      </c>
      <c r="B133" s="6" t="inlineStr">
        <is>
          <t>Banque (haut de bilan)</t>
        </is>
      </c>
      <c r="C133" s="6" t="inlineStr">
        <is>
          <t>UBS, Johann RIVALAND</t>
        </is>
      </c>
      <c r="D133" s="6" t="inlineStr">
        <is>
          <t>Johann RIVALAND</t>
        </is>
      </c>
      <c r="E133" s="6" t="inlineStr">
        <is>
          <t>Levée de Fonds</t>
        </is>
      </c>
      <c r="F133" s="6" t="inlineStr">
        <is>
          <t>Deck envoyé après rencontre Charles/Laurent, suite à lead LG. Suivi à faire : contacter Thomas Riche Poussin à Londres pour avancer discussion fonds de fonds. Nouvelle piste créée équipe Ventes. Pas de retour prospect sur fonds pour l’instant. Dernière action 29/04/2026.</t>
        </is>
      </c>
      <c r="G133" s="6" t="inlineStr">
        <is>
          <t>OK</t>
        </is>
      </c>
      <c r="H133" s="6" t="inlineStr">
        <is>
          <t>29/04/2026</t>
        </is>
      </c>
      <c r="I133" s="6" t="inlineStr"/>
      <c r="J133" s="6">
        <f>ROUND(Z133/1000000,3)&amp;" M€"</f>
        <v/>
      </c>
      <c r="K133" s="6" t="inlineStr">
        <is>
          <t>10%</t>
        </is>
      </c>
      <c r="L133" s="6" t="inlineStr">
        <is>
          <t>Autre</t>
        </is>
      </c>
      <c r="Z133" t="n">
        <v>0</v>
      </c>
    </row>
    <row r="134" ht="60" customHeight="1">
      <c r="A134" s="4" t="inlineStr">
        <is>
          <t>DEEPTECH - Exergon</t>
        </is>
      </c>
      <c r="B134" s="4" t="inlineStr">
        <is>
          <t>Multi Family Office</t>
        </is>
      </c>
      <c r="C134" s="4" t="inlineStr">
        <is>
          <t>Moonfare, Philip Meschke</t>
        </is>
      </c>
      <c r="D134" s="4" t="inlineStr">
        <is>
          <t>Philip Meschke</t>
        </is>
      </c>
      <c r="E134" s="4" t="inlineStr">
        <is>
          <t>Levée de Fonds</t>
        </is>
      </c>
      <c r="F134" s="5" t="inlineStr">
        <is>
          <t>Prospect relancé le 28/05, pas de retour. Réponse reçue : pipeline plein, priorités inchangées, équipe très occupée, proposition de recontact en fin d'année/Q4. Aucune objection ni intérêt exprimé sur fonds/produits. Prochaine relance prévue le 01/10, pas d'autres actions concrètes notées.</t>
        </is>
      </c>
      <c r="G134" s="4" t="inlineStr">
        <is>
          <t>OK</t>
        </is>
      </c>
      <c r="H134" s="5" t="inlineStr">
        <is>
          <t>30/06/2026</t>
        </is>
      </c>
      <c r="I134" s="4" t="inlineStr">
        <is>
          <t>relance</t>
        </is>
      </c>
      <c r="J134" s="4">
        <f>ROUND(Z134/1000000,3)&amp;" M€"</f>
        <v/>
      </c>
      <c r="K134" s="4" t="inlineStr">
        <is>
          <t>10%</t>
        </is>
      </c>
      <c r="L134" s="5" t="inlineStr">
        <is>
          <t>Semaine passée</t>
        </is>
      </c>
      <c r="Z134" t="n">
        <v>0</v>
      </c>
    </row>
    <row r="135" ht="60" customHeight="1">
      <c r="A135" s="6" t="inlineStr">
        <is>
          <t>DEEPTECH - Exergon</t>
        </is>
      </c>
      <c r="B135" s="6" t="inlineStr">
        <is>
          <t>Multi Family Office</t>
        </is>
      </c>
      <c r="C135" s="6" t="inlineStr">
        <is>
          <t>MSR Family Office, Nicole Schulze</t>
        </is>
      </c>
      <c r="D135" s="6" t="inlineStr">
        <is>
          <t>Nicole Schulze</t>
        </is>
      </c>
      <c r="E135" s="6" t="inlineStr">
        <is>
          <t>Levée de Fonds</t>
        </is>
      </c>
      <c r="F135" s="5" t="inlineStr">
        <is>
          <t>28/05 relance sans retour. 21/04 Alexander intéressé par stratégies dédiées mais exige plus de diligence pour nouveaux gérants. Théo Salerno propose un call. Prochaine étape : call à planifier, deadline 20/07. Aucun retour prospect depuis relance. Pas d'objection explicite, intérêt confirmé sous conditions.</t>
        </is>
      </c>
      <c r="G135" s="6" t="inlineStr">
        <is>
          <t>OK</t>
        </is>
      </c>
      <c r="H135" s="5" t="inlineStr">
        <is>
          <t>30/06/2026</t>
        </is>
      </c>
      <c r="I135" s="6" t="inlineStr">
        <is>
          <t>Relancer</t>
        </is>
      </c>
      <c r="J135" s="6">
        <f>ROUND(Z135/1000000,3)&amp;" M€"</f>
        <v/>
      </c>
      <c r="K135" s="6" t="inlineStr">
        <is>
          <t>10%</t>
        </is>
      </c>
      <c r="L135" s="5" t="inlineStr">
        <is>
          <t>Semaine passée</t>
        </is>
      </c>
      <c r="Z135" t="n">
        <v>0</v>
      </c>
    </row>
    <row r="136" ht="60" customHeight="1">
      <c r="A136" s="4" t="inlineStr">
        <is>
          <t>DEEPTECH - Exergon</t>
        </is>
      </c>
      <c r="B136" s="4" t="inlineStr">
        <is>
          <t>Multi Family Office</t>
        </is>
      </c>
      <c r="C136" s="4" t="inlineStr">
        <is>
          <t>Benka, Aleksa Lainovic</t>
        </is>
      </c>
      <c r="D136" s="4" t="inlineStr">
        <is>
          <t>Aleksa L</t>
        </is>
      </c>
      <c r="E136" s="4" t="inlineStr">
        <is>
          <t>Levée de Fonds</t>
        </is>
      </c>
      <c r="F136" s="5" t="inlineStr">
        <is>
          <t>Prospect intéressé par la proposition, a déclaré : "It sounds very interesting and very much in line with themes I like to follow." mais n'a plus répondu. Relances effectuées les 27/04/26 et 28/05, nouvelle relance prévue avant le 13/07. Dernier contact par Théo Salerno. Pas de retour prospect depuis.</t>
        </is>
      </c>
      <c r="G136" s="4" t="inlineStr">
        <is>
          <t>OK</t>
        </is>
      </c>
      <c r="H136" s="5" t="inlineStr">
        <is>
          <t>30/06/2026</t>
        </is>
      </c>
      <c r="I136" s="4" t="inlineStr">
        <is>
          <t>Relancer</t>
        </is>
      </c>
      <c r="J136" s="4">
        <f>ROUND(Z136/1000000,3)&amp;" M€"</f>
        <v/>
      </c>
      <c r="K136" s="4" t="inlineStr">
        <is>
          <t>10%</t>
        </is>
      </c>
      <c r="L136" s="5" t="inlineStr">
        <is>
          <t>Semaine passée &amp; à venir</t>
        </is>
      </c>
      <c r="Z136" t="n">
        <v>0</v>
      </c>
    </row>
    <row r="137" ht="60" customHeight="1">
      <c r="A137" s="6" t="inlineStr">
        <is>
          <t>DEEPTECH - Exergon</t>
        </is>
      </c>
      <c r="B137" s="6" t="inlineStr">
        <is>
          <t>Conseil</t>
        </is>
      </c>
      <c r="C137" s="6" t="inlineStr">
        <is>
          <t>DESJARDINS (CC DESJARDINS), Danielle Filistin</t>
        </is>
      </c>
      <c r="D137" s="6" t="inlineStr">
        <is>
          <t>Danielle Filistin</t>
        </is>
      </c>
      <c r="E137" s="6" t="inlineStr">
        <is>
          <t>Romain Andrieu</t>
        </is>
      </c>
      <c r="F137" s="6" t="inlineStr">
        <is>
          <t>Présentation EXERGON avec Anna Teyssot, prospects en observation du marché, pas de décision prise. Suivi planifié pour septembre 2026. Aucune autre activité ou retour significatif mentionné. Prochaine étape : relance en septembre pour évaluer l'évolution de leur position.</t>
        </is>
      </c>
      <c r="G137" s="6" t="inlineStr">
        <is>
          <t>OK</t>
        </is>
      </c>
      <c r="H137" s="6" t="inlineStr">
        <is>
          <t>01/06/2026</t>
        </is>
      </c>
      <c r="I137" s="6" t="inlineStr">
        <is>
          <t>faire le suivi pour septembre 2026</t>
        </is>
      </c>
      <c r="J137" s="6">
        <f>ROUND(Z137/1000000,3)&amp;" M€"</f>
        <v/>
      </c>
      <c r="K137" s="6" t="inlineStr">
        <is>
          <t>10%</t>
        </is>
      </c>
      <c r="L137" s="6" t="inlineStr">
        <is>
          <t>Autre</t>
        </is>
      </c>
      <c r="Z137" t="n">
        <v>0</v>
      </c>
    </row>
    <row r="138" ht="60" customHeight="1">
      <c r="A138" s="4" t="inlineStr">
        <is>
          <t>DEEPTECH - Exergon</t>
        </is>
      </c>
      <c r="B138" s="4" t="inlineStr">
        <is>
          <t>Assurance/Mutuelle</t>
        </is>
      </c>
      <c r="C138" s="4" t="inlineStr">
        <is>
          <t>MATMUT, Léovic LECLUZE</t>
        </is>
      </c>
      <c r="D138" s="4" t="inlineStr">
        <is>
          <t>Léovic LECLUZE</t>
        </is>
      </c>
      <c r="E138" s="4" t="inlineStr">
        <is>
          <t>Romain Andrieu</t>
        </is>
      </c>
      <c r="F138" s="4" t="inlineStr">
        <is>
          <t>Leovic confirme : pas de PE defense, pas de VC. Aucun intérêt pour ces fonds exprimé par le prospect. Dernière activité le 13/04/2026. Pas de prochaines actions prévues à ce stade. Aucun retour ou demande complémentaire identifié dans les échanges récents.</t>
        </is>
      </c>
      <c r="G138" s="4" t="inlineStr">
        <is>
          <t>KO</t>
        </is>
      </c>
      <c r="H138" s="4" t="inlineStr">
        <is>
          <t>27/04/2026</t>
        </is>
      </c>
      <c r="I138" s="4" t="inlineStr">
        <is>
          <t>Leovic confirme Pas de PE defense et pas de vc</t>
        </is>
      </c>
      <c r="J138" s="4">
        <f>ROUND(Z138/1000000,3)&amp;" M€"</f>
        <v/>
      </c>
      <c r="K138" s="4" t="inlineStr">
        <is>
          <t>0%</t>
        </is>
      </c>
      <c r="L138" s="4" t="inlineStr">
        <is>
          <t>Autre</t>
        </is>
      </c>
      <c r="Z138" t="n">
        <v>0</v>
      </c>
    </row>
    <row r="139" ht="60" customHeight="1">
      <c r="A139" s="6" t="inlineStr">
        <is>
          <t>DEEPTECH - Exergon</t>
        </is>
      </c>
      <c r="B139" s="6" t="inlineStr">
        <is>
          <t>Banque (haut de bilan)</t>
        </is>
      </c>
      <c r="C139" s="6" t="inlineStr">
        <is>
          <t>Caisse d'Epargne Provence Alpes Corse, Jérémy ESTRADER</t>
        </is>
      </c>
      <c r="D139" s="6" t="inlineStr">
        <is>
          <t>Jérémy ESTRADER</t>
        </is>
      </c>
      <c r="E139" s="6" t="inlineStr">
        <is>
          <t>Romain Andrieu</t>
        </is>
      </c>
      <c r="F139" s="6" t="inlineStr">
        <is>
          <t>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t>
        </is>
      </c>
      <c r="G139" s="6" t="inlineStr">
        <is>
          <t>OK</t>
        </is>
      </c>
      <c r="H139" s="6" t="inlineStr">
        <is>
          <t>18/05/2026</t>
        </is>
      </c>
      <c r="I139" s="6" t="inlineStr">
        <is>
          <t>faire le suivi suite au call du 18 mai avec la CEN.</t>
        </is>
      </c>
      <c r="J139" s="6">
        <f>ROUND(Z139/1000000,3)&amp;" M€"</f>
        <v/>
      </c>
      <c r="K139" s="6" t="inlineStr">
        <is>
          <t>10%</t>
        </is>
      </c>
      <c r="L139" s="6" t="inlineStr">
        <is>
          <t>Autre</t>
        </is>
      </c>
      <c r="Z139" t="n">
        <v>0</v>
      </c>
    </row>
    <row r="140" ht="60" customHeight="1">
      <c r="A140" s="4" t="inlineStr">
        <is>
          <t>DEEPTECH - Exergon</t>
        </is>
      </c>
      <c r="B140" s="4" t="inlineStr">
        <is>
          <t>Banque (haut de bilan)</t>
        </is>
      </c>
      <c r="C140" s="4" t="inlineStr">
        <is>
          <t>Caisse d'Épargne Normandie, Aurelien Valet</t>
        </is>
      </c>
      <c r="D140" s="4" t="inlineStr">
        <is>
          <t>Aurelien Valet</t>
        </is>
      </c>
      <c r="E140" s="4" t="inlineStr">
        <is>
          <t>Romain Andrieu</t>
        </is>
      </c>
      <c r="F140" s="4" t="inlineStr">
        <is>
          <t>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t>
        </is>
      </c>
      <c r="G140" s="4" t="inlineStr">
        <is>
          <t>OK</t>
        </is>
      </c>
      <c r="H140" s="4" t="inlineStr">
        <is>
          <t>18/05/2026</t>
        </is>
      </c>
      <c r="I140" s="4" t="inlineStr">
        <is>
          <t>prochain rdv avec la BDR Agnès Louvet et Nathalie Cratière &lt;&gt; Exergon</t>
        </is>
      </c>
      <c r="J140" s="4">
        <f>ROUND(Z140/1000000,3)&amp;" M€"</f>
        <v/>
      </c>
      <c r="K140" s="4" t="inlineStr">
        <is>
          <t>30%</t>
        </is>
      </c>
      <c r="L140" s="4" t="inlineStr">
        <is>
          <t>Autre</t>
        </is>
      </c>
      <c r="Z140" t="n">
        <v>1000000</v>
      </c>
    </row>
    <row r="141" ht="60" customHeight="1">
      <c r="A141" s="6" t="inlineStr">
        <is>
          <t>DEEPTECH - Exergon</t>
        </is>
      </c>
      <c r="B141" s="6" t="inlineStr">
        <is>
          <t>Conseil</t>
        </is>
      </c>
      <c r="C141" s="6" t="inlineStr">
        <is>
          <t>MVestenergy, Jonny Hesthammer</t>
        </is>
      </c>
      <c r="D141" s="6" t="inlineStr">
        <is>
          <t>Jonny Hesthammer</t>
        </is>
      </c>
      <c r="E141" s="6" t="inlineStr">
        <is>
          <t>Romain Andrieu</t>
        </is>
      </c>
      <c r="F141" s="6" t="inlineStr">
        <is>
          <t>Aucune activité menée sur le prospect. Un nouvelle piste a été créée pour l'équipe "Ventes". Aucun échange, action ou retour prospect enregistré à ce jour. Pas de prochaines étapes identifiées ni de suivi documenté dans les messages ou activités.</t>
        </is>
      </c>
      <c r="G141" s="6" t="inlineStr">
        <is>
          <t>OK</t>
        </is>
      </c>
      <c r="H141" s="6" t="inlineStr">
        <is>
          <t>02/04/2026</t>
        </is>
      </c>
      <c r="I141" s="6" t="inlineStr"/>
      <c r="J141" s="6">
        <f>ROUND(Z141/1000000,3)&amp;" M€"</f>
        <v/>
      </c>
      <c r="K141" s="6" t="inlineStr">
        <is>
          <t>0%</t>
        </is>
      </c>
      <c r="L141" s="6" t="inlineStr">
        <is>
          <t>Autre</t>
        </is>
      </c>
      <c r="Z141" t="n">
        <v>0</v>
      </c>
    </row>
    <row r="142" ht="60" customHeight="1">
      <c r="A142" s="4" t="inlineStr">
        <is>
          <t>DEEPTECH - Exergon</t>
        </is>
      </c>
      <c r="B142" s="4" t="inlineStr">
        <is>
          <t>Fonds de fonds</t>
        </is>
      </c>
      <c r="C142" s="4" t="inlineStr">
        <is>
          <t>ARKEA AM FUNDS, Emmanuelle Bonale</t>
        </is>
      </c>
      <c r="D142" s="4" t="inlineStr">
        <is>
          <t>Emmanuelle Bonale</t>
        </is>
      </c>
      <c r="E142" s="4" t="inlineStr">
        <is>
          <t>Romain Andrieu</t>
        </is>
      </c>
      <c r="F142" s="4" t="inlineStr">
        <is>
          <t>Aucune activité, message ou action significative retrouvée sur cette opportunité. Aucun échange, compte-rendu, ni prochaine étape identifiée. Aucun retour prospect, ni mention de contexte de création. Aucun suivi détecté à ce jour sur ce dossier.</t>
        </is>
      </c>
      <c r="G142" s="4" t="inlineStr">
        <is>
          <t>KO</t>
        </is>
      </c>
      <c r="H142" s="4" t="inlineStr">
        <is>
          <t>01/06/2026</t>
        </is>
      </c>
      <c r="I142" s="4" t="inlineStr"/>
      <c r="J142" s="4">
        <f>ROUND(Z142/1000000,3)&amp;" M€"</f>
        <v/>
      </c>
      <c r="K142" s="4" t="inlineStr">
        <is>
          <t>50%</t>
        </is>
      </c>
      <c r="L142" s="4" t="inlineStr">
        <is>
          <t>Autre</t>
        </is>
      </c>
      <c r="Z142" t="n">
        <v>0</v>
      </c>
    </row>
    <row r="143" ht="60" customHeight="1">
      <c r="A143" s="6" t="inlineStr">
        <is>
          <t>DEEPTECH - Exergon</t>
        </is>
      </c>
      <c r="B143" s="6" t="inlineStr">
        <is>
          <t>CGP</t>
        </is>
      </c>
      <c r="C143" s="6" t="inlineStr">
        <is>
          <t>MEESCHAERT GESTION PRIVEE, Charles Bienaime</t>
        </is>
      </c>
      <c r="D143" s="6" t="inlineStr">
        <is>
          <t>Charles Bienaime</t>
        </is>
      </c>
      <c r="E143" s="6" t="inlineStr">
        <is>
          <t>Romain Andrieu</t>
        </is>
      </c>
      <c r="F143" s="6" t="inlineStr">
        <is>
          <t>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t>
        </is>
      </c>
      <c r="G143" s="6" t="inlineStr">
        <is>
          <t>OK</t>
        </is>
      </c>
      <c r="H143" s="6" t="inlineStr">
        <is>
          <t>07/05/2026</t>
        </is>
      </c>
      <c r="I143" s="6" t="inlineStr">
        <is>
          <t>le 7 mai lancement de la présentation chez Meeschaert d'un event FO/Gestion privée</t>
        </is>
      </c>
      <c r="J143" s="6">
        <f>ROUND(Z143/1000000,3)&amp;" M€"</f>
        <v/>
      </c>
      <c r="K143" s="6" t="inlineStr">
        <is>
          <t>10%</t>
        </is>
      </c>
      <c r="L143" s="6" t="inlineStr">
        <is>
          <t>Autre</t>
        </is>
      </c>
      <c r="Z143" t="n">
        <v>0</v>
      </c>
    </row>
    <row r="144" ht="60" customHeight="1">
      <c r="A144" s="4" t="inlineStr">
        <is>
          <t>DEEPTECH - Exergon</t>
        </is>
      </c>
      <c r="B144" s="4" t="inlineStr">
        <is>
          <t>Société de gestion</t>
        </is>
      </c>
      <c r="C144" s="4" t="inlineStr">
        <is>
          <t>Shell venture, Leonardo SPANU</t>
        </is>
      </c>
      <c r="D144" s="4" t="inlineStr">
        <is>
          <t>Leonardo SPANU</t>
        </is>
      </c>
      <c r="E144" s="4" t="inlineStr">
        <is>
          <t>Romain Andrieu</t>
        </is>
      </c>
      <c r="F144" s="4" t="inlineStr">
        <is>
          <t>Aucune activité menée sur le prospect. Un nouvelle piste a été créée pour l'équipe "Ventes". Aucun échange, action ou retour prospect enregistré à ce jour. Pas de suivi, pas de prochaine étape identifiée.</t>
        </is>
      </c>
      <c r="G144" s="4" t="inlineStr">
        <is>
          <t>OK</t>
        </is>
      </c>
      <c r="H144" s="4" t="inlineStr">
        <is>
          <t>10/03/2026</t>
        </is>
      </c>
      <c r="I144" s="4" t="inlineStr"/>
      <c r="J144" s="4">
        <f>ROUND(Z144/1000000,3)&amp;" M€"</f>
        <v/>
      </c>
      <c r="K144" s="4" t="inlineStr">
        <is>
          <t>0%</t>
        </is>
      </c>
      <c r="L144" s="4" t="inlineStr">
        <is>
          <t>Autre</t>
        </is>
      </c>
      <c r="Z144" t="n">
        <v>0</v>
      </c>
    </row>
    <row r="145" ht="60" customHeight="1">
      <c r="A145" s="6" t="inlineStr">
        <is>
          <t>DEEPTECH - Exergon</t>
        </is>
      </c>
      <c r="B145" s="6" t="inlineStr">
        <is>
          <t>Association</t>
        </is>
      </c>
      <c r="C145" s="6" t="inlineStr">
        <is>
          <t>United Nations Development Program, Lakshmi Viswanathan</t>
        </is>
      </c>
      <c r="D145" s="6" t="inlineStr">
        <is>
          <t>Lakshmi Viswanathan</t>
        </is>
      </c>
      <c r="E145" s="6" t="inlineStr">
        <is>
          <t>Amaury Daignes</t>
        </is>
      </c>
      <c r="F145" s="6" t="inlineStr">
        <is>
          <t>03.03 prospection Allemagne pour Expansion &amp; Calderion, intérêt confirmé. 10.03 visio Teams avec Lakshmi Viswanathan (UNDP), Calderion &amp; Exergon : qualification UNDP, présentation fonds, échanges sur synergies, focus impact investing, climat, SDG, fonds GCF. Prochaines étapes : envoyer teasers Calderion/Exergon, contacter UN CDF/GCF.</t>
        </is>
      </c>
      <c r="G145" s="6" t="inlineStr">
        <is>
          <t>OK</t>
        </is>
      </c>
      <c r="H145" s="6" t="inlineStr">
        <is>
          <t>10/03/2026</t>
        </is>
      </c>
      <c r="I145" s="6" t="inlineStr"/>
      <c r="J145" s="6">
        <f>ROUND(Z145/1000000,3)&amp;" M€"</f>
        <v/>
      </c>
      <c r="K145" s="6" t="inlineStr">
        <is>
          <t>0%</t>
        </is>
      </c>
      <c r="L145" s="6" t="inlineStr">
        <is>
          <t>Autre</t>
        </is>
      </c>
      <c r="Z145" t="n">
        <v>0</v>
      </c>
    </row>
    <row r="146" ht="60" customHeight="1">
      <c r="A146" s="4" t="inlineStr">
        <is>
          <t>DEEPTECH - Exergon</t>
        </is>
      </c>
      <c r="B146" s="4" t="inlineStr">
        <is>
          <t>Fondation</t>
        </is>
      </c>
      <c r="C146" s="4" t="inlineStr">
        <is>
          <t>FONDAZIONE CASSA DI RISPARMIO DELLE PROV. LOMBARDE - CARIPLO, Francesco Ceci</t>
        </is>
      </c>
      <c r="D146" s="4" t="inlineStr">
        <is>
          <t>Francesco Ceci</t>
        </is>
      </c>
      <c r="E146" s="4" t="inlineStr">
        <is>
          <t>Romain Andrieu</t>
        </is>
      </c>
      <c r="F146" s="4" t="inlineStr">
        <is>
          <t>RDV Exergon 03/12/2025. Deck envoyé. AUM 12bn, 60% Italie, 5% INTESA. Prospects jugent le nucléaire trop risqué, posture conservatrice, rien en Italie, ticket 5M€/fonds. Intérêt pour autres thèses VC, Newspace/Calderion mis en pause. Relance faite 06/03. Suivi à poursuivre S2 2026.</t>
        </is>
      </c>
      <c r="G146" s="4" t="inlineStr">
        <is>
          <t>OK</t>
        </is>
      </c>
      <c r="H146" s="4" t="inlineStr">
        <is>
          <t>06/03/2026</t>
        </is>
      </c>
      <c r="I146" s="4" t="inlineStr">
        <is>
          <t>relance faite le 6 mars &lt;&gt; RDV du 3 decembre 2025 de présentation pour Exergon</t>
        </is>
      </c>
      <c r="J146" s="4">
        <f>ROUND(Z146/1000000,3)&amp;" M€"</f>
        <v/>
      </c>
      <c r="K146" s="4" t="inlineStr">
        <is>
          <t>0%</t>
        </is>
      </c>
      <c r="L146" s="4" t="inlineStr">
        <is>
          <t>Autre</t>
        </is>
      </c>
      <c r="Z146" t="n">
        <v>0</v>
      </c>
    </row>
    <row r="147" ht="60" customHeight="1">
      <c r="A147" s="6" t="inlineStr">
        <is>
          <t>DEEPTECH - Exergon</t>
        </is>
      </c>
      <c r="B147" s="6" t="inlineStr">
        <is>
          <t>Fonds de fonds</t>
        </is>
      </c>
      <c r="C147" s="6" t="inlineStr">
        <is>
          <t>ARKEA AM FUNDS, Emmanuelle Bonale</t>
        </is>
      </c>
      <c r="D147" s="6" t="inlineStr">
        <is>
          <t>Emmanuelle Bonale</t>
        </is>
      </c>
      <c r="E147" s="6" t="inlineStr">
        <is>
          <t>Romain Andrieu</t>
        </is>
      </c>
      <c r="F147" s="6" t="inlineStr">
        <is>
          <t>RDV présentation avec DESJARDINS CAPITAL réalisé, feedback reçu : présentation faite, sujet clôturé, aucune suite prévue. Pas d'autres activités ou échanges récents, ni prochaines étapes identifiées. Piste créée pour équipe Ventes, aucune mention de contexte particulier à la création.</t>
        </is>
      </c>
      <c r="G147" s="6" t="inlineStr">
        <is>
          <t>KO</t>
        </is>
      </c>
      <c r="H147" s="6" t="inlineStr">
        <is>
          <t>13/05/2026</t>
        </is>
      </c>
      <c r="I147" s="6" t="inlineStr"/>
      <c r="J147" s="6">
        <f>ROUND(Z147/1000000,3)&amp;" M€"</f>
        <v/>
      </c>
      <c r="K147" s="6" t="inlineStr">
        <is>
          <t>50%</t>
        </is>
      </c>
      <c r="L147" s="6" t="inlineStr">
        <is>
          <t>Autre</t>
        </is>
      </c>
      <c r="Z147" t="n">
        <v>0</v>
      </c>
    </row>
    <row r="148" ht="60" customHeight="1">
      <c r="A148" s="4" t="inlineStr">
        <is>
          <t>DEEPTECH - Exergon</t>
        </is>
      </c>
      <c r="B148" s="4" t="inlineStr">
        <is>
          <t>Fonds souverain</t>
        </is>
      </c>
      <c r="C148" s="4" t="inlineStr">
        <is>
          <t>ENEC, Yvon Luc Mompeyssin</t>
        </is>
      </c>
      <c r="D148" s="4" t="inlineStr">
        <is>
          <t>Yvon Luc Mompeyssin</t>
        </is>
      </c>
      <c r="E148" s="4" t="inlineStr">
        <is>
          <t>Romain Andrieu</t>
        </is>
      </c>
      <c r="F148" s="4" t="inlineStr">
        <is>
          <t>RDV physique 9/03/2026 ENEC : échanges sur besoins tech, évaluation R&amp;D par Nind, ouverture DataRoom, focus sur impact fonds pour programme nucléaire UAE, scaling, partenariats newtech, Forward Investments (DEWA) évoqué. Prochaine étape : préDD, poursuite discussions tech/invest.</t>
        </is>
      </c>
      <c r="G148" s="4" t="inlineStr">
        <is>
          <t>OK</t>
        </is>
      </c>
      <c r="H148" s="4" t="inlineStr">
        <is>
          <t>13/03/2026</t>
        </is>
      </c>
      <c r="I148" s="4" t="inlineStr">
        <is>
          <t>Pitch du 9 mars 2026 / Ok pour préDD.</t>
        </is>
      </c>
      <c r="J148" s="4">
        <f>ROUND(Z148/1000000,3)&amp;" M€"</f>
        <v/>
      </c>
      <c r="K148" s="4" t="inlineStr">
        <is>
          <t>0%</t>
        </is>
      </c>
      <c r="L148" s="4" t="inlineStr">
        <is>
          <t>Autre</t>
        </is>
      </c>
      <c r="Z148" t="n">
        <v>0</v>
      </c>
    </row>
    <row r="149" ht="60" customHeight="1">
      <c r="A149" s="6" t="inlineStr">
        <is>
          <t>DEEPTECH - Exergon</t>
        </is>
      </c>
      <c r="B149" s="6" t="inlineStr">
        <is>
          <t>Assurance/Mutuelle</t>
        </is>
      </c>
      <c r="C149" s="6" t="inlineStr">
        <is>
          <t>COVEA FINANCE, Olivier Leborgne</t>
        </is>
      </c>
      <c r="D149" s="6" t="inlineStr">
        <is>
          <t>Olivier Leborgne</t>
        </is>
      </c>
      <c r="E149" s="6" t="inlineStr">
        <is>
          <t>Romain Andrieu</t>
        </is>
      </c>
      <c r="F149" s="5" t="inlineStr">
        <is>
          <t>KO parrainage Tibi 3. RDV physique terminé, relance faite. Café avec Guillaume Danssault après envoi Newsletter EXERGON n°10. COVEA : 80% re-up PE, 20% nouvelles stratégies PE, exit autres stratégies dont Exergon. Attente validation allocation Non coté PE Straton. Ouverture possible sur La Défense Dettes (X. Simler).</t>
        </is>
      </c>
      <c r="G149" s="6" t="inlineStr">
        <is>
          <t>KO</t>
        </is>
      </c>
      <c r="H149" s="5" t="inlineStr">
        <is>
          <t>03/07/2026</t>
        </is>
      </c>
      <c r="I149" s="6" t="inlineStr"/>
      <c r="J149" s="6">
        <f>ROUND(Z149/1000000,3)&amp;" M€"</f>
        <v/>
      </c>
      <c r="K149" s="6" t="inlineStr">
        <is>
          <t>0%</t>
        </is>
      </c>
      <c r="L149" s="5" t="inlineStr">
        <is>
          <t>Semaine passée</t>
        </is>
      </c>
      <c r="Z149" t="n">
        <v>0</v>
      </c>
    </row>
    <row r="150" ht="60" customHeight="1">
      <c r="A150" s="4" t="inlineStr">
        <is>
          <t>DEEPTECH - Exergon</t>
        </is>
      </c>
      <c r="B150" s="4" t="inlineStr">
        <is>
          <t>Assurance/Mutuelle</t>
        </is>
      </c>
      <c r="C150" s="4" t="inlineStr">
        <is>
          <t>AXA, Benjamin Komarnicki</t>
        </is>
      </c>
      <c r="D150" s="4" t="inlineStr">
        <is>
          <t>Benjamin Komarnicki</t>
        </is>
      </c>
      <c r="E150" s="4" t="inlineStr">
        <is>
          <t>Romain Andrieu</t>
        </is>
      </c>
      <c r="F150" s="5" t="inlineStr">
        <is>
          <t>Parrainage Tibi 3 refusé. Dernier RDV physique terminé, relance ciblée sur EXERGON. Prospect AXA ne répond plus depuis 30/09/2025, RDV le 5 mai sur autre sujet, CB et Alban de Mailly Nesle impliqués. AXA discute avec Entrooview, relance faite auprès de Benjamin Komarnicki. Attente traitement Saptial.</t>
        </is>
      </c>
      <c r="G150" s="4" t="inlineStr">
        <is>
          <t>KO</t>
        </is>
      </c>
      <c r="H150" s="5" t="inlineStr">
        <is>
          <t>03/07/2026</t>
        </is>
      </c>
      <c r="I150" s="4" t="inlineStr">
        <is>
          <t>pas de vc / super collé sur le PE; probablement encore plus que les autres assureurs / aller voir Cardif.</t>
        </is>
      </c>
      <c r="J150" s="4">
        <f>ROUND(Z150/1000000,3)&amp;" M€"</f>
        <v/>
      </c>
      <c r="K150" s="4" t="inlineStr">
        <is>
          <t>0%</t>
        </is>
      </c>
      <c r="L150" s="5" t="inlineStr">
        <is>
          <t>Semaine passée</t>
        </is>
      </c>
      <c r="Z150" t="n">
        <v>0</v>
      </c>
    </row>
    <row r="151" ht="60" customHeight="1">
      <c r="A151" s="6" t="inlineStr">
        <is>
          <t>DEEPTECH - Exergon</t>
        </is>
      </c>
      <c r="B151" s="6" t="inlineStr">
        <is>
          <t>Assurance/Mutuelle</t>
        </is>
      </c>
      <c r="C151" s="6" t="inlineStr">
        <is>
          <t>MUTUELLE DE POITIERS ASSURANCES, Romain JAHAN</t>
        </is>
      </c>
      <c r="D151" s="6" t="inlineStr">
        <is>
          <t>Romain JAHAN</t>
        </is>
      </c>
      <c r="E151" s="6" t="inlineStr">
        <is>
          <t>Romain Andrieu</t>
        </is>
      </c>
      <c r="F151" s="5" t="inlineStr">
        <is>
          <t>Demande de parrainage Tibi 3 pour Exergon et Calderion en cours, action à faire avant le 29/06. Pas d'autres activités ou retours prospect mentionnés. Prochaine étape : finaliser la demande de parrainage. Aucun retour explicite des prospects sur les fonds présentés à ce stade.</t>
        </is>
      </c>
      <c r="G151" s="6" t="inlineStr">
        <is>
          <t>OK</t>
        </is>
      </c>
      <c r="H151" s="5" t="inlineStr">
        <is>
          <t>26/06/2026</t>
        </is>
      </c>
      <c r="I151" s="6" t="inlineStr">
        <is>
          <t>demande de parrainage Tibi 3 &lt;&gt; Exergon et Calderion</t>
        </is>
      </c>
      <c r="J151" s="6">
        <f>ROUND(Z151/1000000,3)&amp;" M€"</f>
        <v/>
      </c>
      <c r="K151" s="6" t="inlineStr">
        <is>
          <t>10%</t>
        </is>
      </c>
      <c r="L151" s="5" t="inlineStr">
        <is>
          <t>Semaine passée</t>
        </is>
      </c>
      <c r="Z151" t="n">
        <v>0</v>
      </c>
    </row>
    <row r="152" ht="60" customHeight="1">
      <c r="A152" s="4" t="inlineStr">
        <is>
          <t>DEEPTECH - Exergon</t>
        </is>
      </c>
      <c r="B152" s="4" t="inlineStr">
        <is>
          <t>Assurance/Mutuelle</t>
        </is>
      </c>
      <c r="C152" s="4" t="inlineStr">
        <is>
          <t>ARKEA, Yann Choquet</t>
        </is>
      </c>
      <c r="D152" s="4" t="inlineStr">
        <is>
          <t>Yann Choquet</t>
        </is>
      </c>
      <c r="E152" s="4" t="inlineStr">
        <is>
          <t>Romain Andrieu</t>
        </is>
      </c>
      <c r="F152" s="4" t="inlineStr">
        <is>
          <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t>
        </is>
      </c>
      <c r="G152" s="4" t="inlineStr">
        <is>
          <t>OK</t>
        </is>
      </c>
      <c r="H152" s="4" t="inlineStr">
        <is>
          <t>11/02/2026</t>
        </is>
      </c>
      <c r="I152" s="4" t="inlineStr"/>
      <c r="J152" s="4">
        <f>ROUND(Z152/1000000,3)&amp;" M€"</f>
        <v/>
      </c>
      <c r="K152" s="4" t="inlineStr">
        <is>
          <t>10%</t>
        </is>
      </c>
      <c r="L152" s="4" t="inlineStr">
        <is>
          <t>Autre</t>
        </is>
      </c>
      <c r="Z152" t="n">
        <v>0</v>
      </c>
    </row>
    <row r="153" ht="60" customHeight="1">
      <c r="A153" s="6" t="inlineStr">
        <is>
          <t>DEEPTECH - Exergon</t>
        </is>
      </c>
      <c r="B153" s="6" t="inlineStr">
        <is>
          <t>Conseil</t>
        </is>
      </c>
      <c r="C153" s="6" t="inlineStr">
        <is>
          <t>ALL INVEST, Ralph Olmost</t>
        </is>
      </c>
      <c r="D153" s="6" t="inlineStr">
        <is>
          <t>Ralph Olmost</t>
        </is>
      </c>
      <c r="E153" s="6" t="inlineStr">
        <is>
          <t>Edouard Gaurier</t>
        </is>
      </c>
      <c r="F153" s="6" t="inlineStr">
        <is>
          <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t>
        </is>
      </c>
      <c r="G153" s="6" t="inlineStr">
        <is>
          <t>OK</t>
        </is>
      </c>
      <c r="H153" s="6" t="inlineStr">
        <is>
          <t>10/02/2026</t>
        </is>
      </c>
      <c r="I153" s="6" t="inlineStr">
        <is>
          <t>Gros client intéressé sur la deeptech</t>
        </is>
      </c>
      <c r="J153" s="6">
        <f>ROUND(Z153/1000000,3)&amp;" M€"</f>
        <v/>
      </c>
      <c r="K153" s="6" t="inlineStr">
        <is>
          <t>10%</t>
        </is>
      </c>
      <c r="L153" s="6" t="inlineStr">
        <is>
          <t>Autre</t>
        </is>
      </c>
      <c r="Z153" t="n">
        <v>0</v>
      </c>
    </row>
    <row r="154" ht="60" customHeight="1">
      <c r="A154" s="4" t="inlineStr">
        <is>
          <t>DEEPTECH - Exergon</t>
        </is>
      </c>
      <c r="B154" s="4" t="inlineStr">
        <is>
          <t>Assurance/Mutuelle</t>
        </is>
      </c>
      <c r="C154" s="4" t="inlineStr">
        <is>
          <t>Gilles Dupin</t>
        </is>
      </c>
      <c r="D154" s="4" t="inlineStr">
        <is>
          <t>Gilles Dupin</t>
        </is>
      </c>
      <c r="E154" s="4" t="inlineStr">
        <is>
          <t>Romain Andrieu</t>
        </is>
      </c>
      <c r="F154" s="4" t="inlineStr"/>
      <c r="G154" s="4" t="inlineStr">
        <is>
          <t>OK</t>
        </is>
      </c>
      <c r="H154" s="4" t="inlineStr">
        <is>
          <t>06/01/2026</t>
        </is>
      </c>
      <c r="I154" s="4" t="inlineStr"/>
      <c r="J154" s="4">
        <f>ROUND(Z154/1000000,3)&amp;" M€"</f>
        <v/>
      </c>
      <c r="K154" s="4" t="inlineStr">
        <is>
          <t>10%</t>
        </is>
      </c>
      <c r="L154" s="4" t="inlineStr">
        <is>
          <t>Autre</t>
        </is>
      </c>
      <c r="Z154" t="n">
        <v>0</v>
      </c>
    </row>
    <row r="155" ht="60" customHeight="1">
      <c r="A155" s="6" t="inlineStr">
        <is>
          <t>DEEPTECH - Exergon</t>
        </is>
      </c>
      <c r="B155" s="6" t="inlineStr">
        <is>
          <t>Fonds de pension</t>
        </is>
      </c>
      <c r="C155" s="6" t="inlineStr">
        <is>
          <t>Oslo Pensjonsforsikring AS, Ryan El Houssein</t>
        </is>
      </c>
      <c r="D155" s="6" t="inlineStr">
        <is>
          <t>Ryan El Houssein</t>
        </is>
      </c>
      <c r="E155" s="6" t="inlineStr">
        <is>
          <t>Romain Andrieu</t>
        </is>
      </c>
      <c r="F155" s="6" t="inlineStr">
        <is>
          <t>Process interne OPF 2025 sur private markets, décision d'investir dans GPs nordiques, BP finalisé mi-avril 2026. Mandat possible pour stratégie Aerospace &amp; Defense (base Suède). Fonds new nuclear exclu (GP français). Prochain RDV prévu janv 2027. Attente validation BP, contact investisseurs Oslo possible.</t>
        </is>
      </c>
      <c r="G155" s="6" t="inlineStr">
        <is>
          <t>KO</t>
        </is>
      </c>
      <c r="H155" s="6" t="inlineStr">
        <is>
          <t>13/03/2026</t>
        </is>
      </c>
      <c r="I155" s="6" t="inlineStr">
        <is>
          <t>rdv dans en janv 2027</t>
        </is>
      </c>
      <c r="J155" s="6">
        <f>ROUND(Z155/1000000,3)&amp;" M€"</f>
        <v/>
      </c>
      <c r="K155" s="6" t="inlineStr">
        <is>
          <t>0%</t>
        </is>
      </c>
      <c r="L155" s="6" t="inlineStr">
        <is>
          <t>Autre</t>
        </is>
      </c>
      <c r="Z155" t="n">
        <v>15000000</v>
      </c>
    </row>
    <row r="156" ht="60" customHeight="1">
      <c r="A156" s="4" t="inlineStr">
        <is>
          <t>DEEPTECH - Exergon</t>
        </is>
      </c>
      <c r="B156" s="4" t="inlineStr">
        <is>
          <t>Banque (haut de bilan)</t>
        </is>
      </c>
      <c r="C156" s="4" t="inlineStr">
        <is>
          <t>UBS ASSET MANAGEMENT, Michael BRUNNER</t>
        </is>
      </c>
      <c r="D156" s="4" t="inlineStr">
        <is>
          <t>Michael BRUNNER</t>
        </is>
      </c>
      <c r="E156" s="4" t="inlineStr">
        <is>
          <t>Romain Andrieu</t>
        </is>
      </c>
      <c r="F156" s="4" t="inlineStr">
        <is>
          <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t>
        </is>
      </c>
      <c r="G156" s="4" t="inlineStr">
        <is>
          <t>OK</t>
        </is>
      </c>
      <c r="H156" s="4" t="inlineStr">
        <is>
          <t>17/04/2026</t>
        </is>
      </c>
      <c r="I156" s="4" t="inlineStr">
        <is>
          <t>A relancer</t>
        </is>
      </c>
      <c r="J156" s="4">
        <f>ROUND(Z156/1000000,3)&amp;" M€"</f>
        <v/>
      </c>
      <c r="K156" s="4" t="inlineStr">
        <is>
          <t>10%</t>
        </is>
      </c>
      <c r="L156" s="4" t="inlineStr">
        <is>
          <t>Autre</t>
        </is>
      </c>
      <c r="Z156" t="n">
        <v>0</v>
      </c>
    </row>
    <row r="157" ht="60" customHeight="1">
      <c r="A157" s="6" t="inlineStr">
        <is>
          <t>DEEPTECH - Exergon</t>
        </is>
      </c>
      <c r="B157" s="6" t="inlineStr">
        <is>
          <t>Public</t>
        </is>
      </c>
      <c r="C157" s="6" t="inlineStr">
        <is>
          <t>European Organization for Nuclear Research - CERN, Elena MANOLA</t>
        </is>
      </c>
      <c r="D157" s="6" t="inlineStr">
        <is>
          <t>Elena MANOLA</t>
        </is>
      </c>
      <c r="E157" s="6" t="inlineStr">
        <is>
          <t>Romain Andrieu</t>
        </is>
      </c>
      <c r="F157" s="6" t="inlineStr">
        <is>
          <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t>
        </is>
      </c>
      <c r="G157" s="6" t="inlineStr">
        <is>
          <t>OK</t>
        </is>
      </c>
      <c r="H157" s="6" t="inlineStr">
        <is>
          <t>08/12/2025</t>
        </is>
      </c>
      <c r="I157" s="6" t="inlineStr"/>
      <c r="J157" s="6">
        <f>ROUND(Z157/1000000,3)&amp;" M€"</f>
        <v/>
      </c>
      <c r="K157" s="6" t="inlineStr">
        <is>
          <t>0%</t>
        </is>
      </c>
      <c r="L157" s="6" t="inlineStr">
        <is>
          <t>Autre</t>
        </is>
      </c>
      <c r="Z157" t="n">
        <v>0</v>
      </c>
    </row>
    <row r="158" ht="60" customHeight="1">
      <c r="A158" s="4" t="inlineStr">
        <is>
          <t>DEEPTECH - Exergon</t>
        </is>
      </c>
      <c r="B158" s="4" t="inlineStr">
        <is>
          <t>Assurance/Mutuelle</t>
        </is>
      </c>
      <c r="C158" s="4" t="inlineStr">
        <is>
          <t>Mapfre, José-Louis JIMÉNEZ GUAJARDO-FAJARDO</t>
        </is>
      </c>
      <c r="D158" s="4" t="inlineStr">
        <is>
          <t>José-Louis JIMÉNEZ GUAJARDO-FAJARDO</t>
        </is>
      </c>
      <c r="E158" s="4" t="inlineStr">
        <is>
          <t>Romain Andrieu</t>
        </is>
      </c>
      <c r="F158" s="4" t="inlineStr">
        <is>
          <t>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t>
        </is>
      </c>
      <c r="G158" s="4" t="inlineStr">
        <is>
          <t>OK</t>
        </is>
      </c>
      <c r="H158" s="4" t="inlineStr">
        <is>
          <t>07/05/2026</t>
        </is>
      </c>
      <c r="I158" s="4" t="inlineStr">
        <is>
          <t>à relancer en 2027</t>
        </is>
      </c>
      <c r="J158" s="4">
        <f>ROUND(Z158/1000000,3)&amp;" M€"</f>
        <v/>
      </c>
      <c r="K158" s="4" t="inlineStr">
        <is>
          <t>10%</t>
        </is>
      </c>
      <c r="L158" s="4" t="inlineStr">
        <is>
          <t>Autre</t>
        </is>
      </c>
      <c r="Z158" t="n">
        <v>0</v>
      </c>
    </row>
  </sheetData>
  <mergeCells count="2">
    <mergeCell ref="A2:I2"/>
    <mergeCell ref="A1:L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08CACA-A003-4872-8573-A4ABDC36CBF9}"/>
</file>

<file path=customXml/itemProps2.xml><?xml version="1.0" encoding="utf-8"?>
<ds:datastoreItem xmlns:ds="http://schemas.openxmlformats.org/officeDocument/2006/customXml" ds:itemID="{8295D736-5098-4AAA-BBBD-E592C68FEAFA}"/>
</file>

<file path=customXml/itemProps3.xml><?xml version="1.0" encoding="utf-8"?>
<ds:datastoreItem xmlns:ds="http://schemas.openxmlformats.org/officeDocument/2006/customXml" ds:itemID="{5961AF4C-BCD1-4A34-8A5C-0E3765BF9C0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2026-07-03T15:52:19Z</dcterms:created>
  <dcterms:modified xsi:type="dcterms:W3CDTF">2026-07-03T15:52:19Z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ies>
</file>